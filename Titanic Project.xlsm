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projekty excel\"/>
    </mc:Choice>
  </mc:AlternateContent>
  <workbookProtection workbookAlgorithmName="SHA-512" workbookHashValue="83hqSAsF8nbkWNFrM+TLjE9f3xyyptR7d6CKAdx5CGQ4gmFxakbb7CdPx9hxb2nFCXfSjJ36RDM5wZU8mtNpGg==" workbookSaltValue="FaZYScOe6YKG2o0bH4jP5w==" workbookSpinCount="100000" lockStructure="1"/>
  <bookViews>
    <workbookView xWindow="0" yWindow="0" windowWidth="28800" windowHeight="12000" tabRatio="621" firstSheet="2" activeTab="2"/>
  </bookViews>
  <sheets>
    <sheet name="data" sheetId="1" state="hidden" r:id="rId1"/>
    <sheet name="pivot" sheetId="2" state="hidden" r:id="rId2"/>
    <sheet name="Dashboard" sheetId="5" r:id="rId3"/>
  </sheets>
  <definedNames>
    <definedName name="Fragmentator_Passenger_Class">#N/A</definedName>
    <definedName name="Fragmentator_Survived?">#N/A</definedName>
  </definedNames>
  <calcPr calcId="162913" calcMode="manual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A52" i="2"/>
  <c r="A51" i="2"/>
  <c r="A50" i="2"/>
  <c r="A39" i="2"/>
  <c r="A38" i="2"/>
  <c r="A63" i="2"/>
  <c r="A64" i="2"/>
  <c r="A153" i="2"/>
  <c r="A152" i="2"/>
  <c r="A151" i="2"/>
  <c r="I1310" i="1" l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<sst xmlns="http://schemas.openxmlformats.org/spreadsheetml/2006/main" count="6932" uniqueCount="1360">
  <si>
    <t>Allen, Miss. Elisabeth Walton</t>
  </si>
  <si>
    <t>Allison, Master. Hudson Trevor</t>
  </si>
  <si>
    <t>Allison, Miss. Helen Loraine</t>
  </si>
  <si>
    <t>Allison, Mr. Hudson Joshua Creighton</t>
  </si>
  <si>
    <t>Allison, Mrs. Hudson J C (Bessie Waldo Daniels)</t>
  </si>
  <si>
    <t>Anderson, Mr. Harry</t>
  </si>
  <si>
    <t>Andrews, Miss. Kornelia Theodosia</t>
  </si>
  <si>
    <t>Andrews, Mr. Thomas Jr</t>
  </si>
  <si>
    <t>Appleton, Mrs. Edward Dale (Charlotte Lamson)</t>
  </si>
  <si>
    <t>Artagaveytia, Mr. Ramon</t>
  </si>
  <si>
    <t>Astor, Col. John Jacob</t>
  </si>
  <si>
    <t>Astor, Mrs. John Jacob (Madeleine Talmadge Force)</t>
  </si>
  <si>
    <t>Aubart, Mme. Leontine Pauline</t>
  </si>
  <si>
    <t>Barber, Miss. Ellen "Nellie"</t>
  </si>
  <si>
    <t>Barkworth, Mr. Algernon Henry Wilson</t>
  </si>
  <si>
    <t>Baumann, Mr. John D</t>
  </si>
  <si>
    <t>Baxter, Mr. Quigg Edmond</t>
  </si>
  <si>
    <t>Baxter, Mrs. James (Helene DeLaudeniere Chaput)</t>
  </si>
  <si>
    <t>Bazzani, Miss. Albina</t>
  </si>
  <si>
    <t>Beattie, Mr. Thomson</t>
  </si>
  <si>
    <t>Beckwith, Mr. Richard Leonard</t>
  </si>
  <si>
    <t>Beckwith, Mrs. Richard Leonard (Sallie Monypeny)</t>
  </si>
  <si>
    <t>Behr, Mr. Karl Howell</t>
  </si>
  <si>
    <t>Bidois, Miss. Rosalie</t>
  </si>
  <si>
    <t>Bird, Miss. Ellen</t>
  </si>
  <si>
    <t>Birnbaum, Mr. Jakob</t>
  </si>
  <si>
    <t>Bishop, Mr. Dickinson H</t>
  </si>
  <si>
    <t>Bishop, Mrs. Dickinson H (Helen Walton)</t>
  </si>
  <si>
    <t>Bissette, Miss. Amelia</t>
  </si>
  <si>
    <t>Bjornstrom-Steffansson, Mr. Mauritz Hakan</t>
  </si>
  <si>
    <t>Blackwell, Mr. Stephen Weart</t>
  </si>
  <si>
    <t>Blank, Mr. Henry</t>
  </si>
  <si>
    <t>Bonnell, Miss. Caroline</t>
  </si>
  <si>
    <t>Bonnell, Miss. Elizabeth</t>
  </si>
  <si>
    <t>Borebank, Mr. John James</t>
  </si>
  <si>
    <t>Bowen, Miss. Grace Scott</t>
  </si>
  <si>
    <t>Bowerman, Miss. Elsie Edith</t>
  </si>
  <si>
    <t>Bradley, Mr. George ("George Arthur Brayton")</t>
  </si>
  <si>
    <t>Brady, Mr. John Bertram</t>
  </si>
  <si>
    <t>Brandeis, Mr. Emil</t>
  </si>
  <si>
    <t>Brewe, Dr. Arthur Jackson</t>
  </si>
  <si>
    <t>Brown, Mrs. James Joseph (Margaret Tobin)</t>
  </si>
  <si>
    <t>Brown, Mrs. John Murray (Caroline Lane Lamson)</t>
  </si>
  <si>
    <t>Bucknell, Mrs. William Robert (Emma Eliza Ward)</t>
  </si>
  <si>
    <t>Burns, Miss. Elizabeth Margaret</t>
  </si>
  <si>
    <t>Butt, Major. Archibald Willingham</t>
  </si>
  <si>
    <t>Cairns, Mr. Alexander</t>
  </si>
  <si>
    <t>Calderhead, Mr. Edward Pennington</t>
  </si>
  <si>
    <t>Candee, Mrs. Edward (Helen Churchill Hungerford)</t>
  </si>
  <si>
    <t>Cardeza, Mr. Thomas Drake Martinez</t>
  </si>
  <si>
    <t>Cardeza, Mrs. James Warburton Martinez (Charlotte Wardle Drake)</t>
  </si>
  <si>
    <t>Carlsson, Mr. Frans Olof</t>
  </si>
  <si>
    <t>Carrau, Mr. Francisco M</t>
  </si>
  <si>
    <t>Carrau, Mr. Jose Pedro</t>
  </si>
  <si>
    <t>Carter, Master. William Thornton II</t>
  </si>
  <si>
    <t>Carter, Miss. Lucile Polk</t>
  </si>
  <si>
    <t>Carter, Mr. William Ernest</t>
  </si>
  <si>
    <t>Carter, Mrs. William Ernest (Lucile Polk)</t>
  </si>
  <si>
    <t>Case, Mr. Howard Brown</t>
  </si>
  <si>
    <t>Cassebeer, Mrs. Henry Arthur Jr (Eleanor Genevieve Fosdick)</t>
  </si>
  <si>
    <t>Cavendish, Mr. Tyrell William</t>
  </si>
  <si>
    <t>Cavendish, Mrs. Tyrell William (Julia Florence Siegel)</t>
  </si>
  <si>
    <t>Chaffee, Mr. Herbert Fuller</t>
  </si>
  <si>
    <t>Chaffee, Mrs. Herbert Fuller (Carrie Constance Toogood)</t>
  </si>
  <si>
    <t>Chambers, Mr. Norman Campbell</t>
  </si>
  <si>
    <t>Chambers, Mrs. Norman Campbell (Bertha Griggs)</t>
  </si>
  <si>
    <t>Chaudanson, Miss. Victorine</t>
  </si>
  <si>
    <t>Cherry, Miss. Gladys</t>
  </si>
  <si>
    <t>Chevre, Mr. Paul Romaine</t>
  </si>
  <si>
    <t>Chibnall, Mrs. (Edith Martha Bowerman)</t>
  </si>
  <si>
    <t>Chisholm, Mr. Roderick Robert Crispin</t>
  </si>
  <si>
    <t>Clark, Mr. Walter Miller</t>
  </si>
  <si>
    <t>Clark, Mrs. Walter Miller (Virginia McDowell)</t>
  </si>
  <si>
    <t>Cleaver, Miss. Alice</t>
  </si>
  <si>
    <t>Clifford, Mr. George Quincy</t>
  </si>
  <si>
    <t>Colley, Mr. Edward Pomeroy</t>
  </si>
  <si>
    <t>Compton, Miss. Sara Rebecca</t>
  </si>
  <si>
    <t>Compton, Mr. Alexander Taylor Jr</t>
  </si>
  <si>
    <t>Compton, Mrs. Alexander Taylor (Mary Eliza Ingersoll)</t>
  </si>
  <si>
    <t>Cornell, Mrs. Robert Clifford (Malvina Helen Lamson)</t>
  </si>
  <si>
    <t>Crafton, Mr. John Bertram</t>
  </si>
  <si>
    <t>Crosby, Capt. Edward Gifford</t>
  </si>
  <si>
    <t>Crosby, Miss. Harriet R</t>
  </si>
  <si>
    <t>Crosby, Mrs. Edward Gifford (Catherine Elizabeth Halstead)</t>
  </si>
  <si>
    <t>Cumings, Mr. John Bradley</t>
  </si>
  <si>
    <t>Cumings, Mrs. John Bradley (Florence Briggs Thayer)</t>
  </si>
  <si>
    <t xml:space="preserve">Daly, Mr. Peter Denis </t>
  </si>
  <si>
    <t>Daniel, Mr. Robert Williams</t>
  </si>
  <si>
    <t>Daniels, Miss. Sarah</t>
  </si>
  <si>
    <t>Davidson, Mr. Thornton</t>
  </si>
  <si>
    <t>Davidson, Mrs. Thornton (Orian Hays)</t>
  </si>
  <si>
    <t>Dick, Mr. Albert Adrian</t>
  </si>
  <si>
    <t>Dick, Mrs. Albert Adrian (Vera Gillespie)</t>
  </si>
  <si>
    <t>Dodge, Dr. Washington</t>
  </si>
  <si>
    <t>Dodge, Master. Washington</t>
  </si>
  <si>
    <t>Dodge, Mrs. Washington (Ruth Vidaver)</t>
  </si>
  <si>
    <t>Douglas, Mr. Walter Donald</t>
  </si>
  <si>
    <t>Douglas, Mrs. Frederick Charles (Mary Helene Baxter)</t>
  </si>
  <si>
    <t>Douglas, Mrs. Walter Donald (Mahala Dutton)</t>
  </si>
  <si>
    <t>Duff Gordon, Lady. (Lucille Christiana Sutherland) ("Mrs Morgan")</t>
  </si>
  <si>
    <t>Duff Gordon, Sir. Cosmo Edmund ("Mr Morgan")</t>
  </si>
  <si>
    <t>Dulles, Mr. William Crothers</t>
  </si>
  <si>
    <t>Earnshaw, Mrs. Boulton (Olive Potter)</t>
  </si>
  <si>
    <t>Endres, Miss. Caroline Louise</t>
  </si>
  <si>
    <t>Eustis, Miss. Elizabeth Mussey</t>
  </si>
  <si>
    <t>Evans, Miss. Edith Corse</t>
  </si>
  <si>
    <t>Farthing, Mr. John</t>
  </si>
  <si>
    <t>Flegenheim, Mrs. Alfred (Antoinette)</t>
  </si>
  <si>
    <t>Fleming, Miss. Margaret</t>
  </si>
  <si>
    <t>Flynn, Mr. John Irwin ("Irving")</t>
  </si>
  <si>
    <t>Foreman, Mr. Benjamin Laventall</t>
  </si>
  <si>
    <t>Fortune, Miss. Alice Elizabeth</t>
  </si>
  <si>
    <t>Fortune, Miss. Ethel Flora</t>
  </si>
  <si>
    <t>Fortune, Miss. Mabel Helen</t>
  </si>
  <si>
    <t>Fortune, Mr. Charles Alexander</t>
  </si>
  <si>
    <t>Fortune, Mr. Mark</t>
  </si>
  <si>
    <t>Fortune, Mrs. Mark (Mary McDougald)</t>
  </si>
  <si>
    <t>Francatelli, Miss. Laura Mabel</t>
  </si>
  <si>
    <t>Franklin, Mr. Thomas Parham</t>
  </si>
  <si>
    <t>Frauenthal, Dr. Henry William</t>
  </si>
  <si>
    <t>Frauenthal, Mr. Isaac Gerald</t>
  </si>
  <si>
    <t>Frauenthal, Mrs. Henry William (Clara Heinsheimer)</t>
  </si>
  <si>
    <t>Frolicher, Miss. Hedwig Margaritha</t>
  </si>
  <si>
    <t>Frolicher-Stehli, Mr. Maxmillian</t>
  </si>
  <si>
    <t>Frolicher-Stehli, Mrs. Maxmillian (Margaretha Emerentia Stehli)</t>
  </si>
  <si>
    <t>Fry, Mr. Richard</t>
  </si>
  <si>
    <t>Futrelle, Mr. Jacques Heath</t>
  </si>
  <si>
    <t>Futrelle, Mrs. Jacques Heath (Lily May Peel)</t>
  </si>
  <si>
    <t>Gee, Mr. Arthur H</t>
  </si>
  <si>
    <t>Geiger, Miss. Amalie</t>
  </si>
  <si>
    <t>Gibson, Miss. Dorothy Winifred</t>
  </si>
  <si>
    <t>Gibson, Mrs. Leonard (Pauline C Boeson)</t>
  </si>
  <si>
    <t>Giglio, Mr. Victor</t>
  </si>
  <si>
    <t>Goldenberg, Mr. Samuel L</t>
  </si>
  <si>
    <t>Goldenberg, Mrs. Samuel L (Edwiga Grabowska)</t>
  </si>
  <si>
    <t>Goldschmidt, Mr. George B</t>
  </si>
  <si>
    <t>Gracie, Col. Archibald IV</t>
  </si>
  <si>
    <t>Graham, Miss. Margaret Edith</t>
  </si>
  <si>
    <t>Graham, Mr. George Edward</t>
  </si>
  <si>
    <t>Graham, Mrs. William Thompson (Edith Junkins)</t>
  </si>
  <si>
    <t>Greenfield, Mr. William Bertram</t>
  </si>
  <si>
    <t>Greenfield, Mrs. Leo David (Blanche Strouse)</t>
  </si>
  <si>
    <t>Guggenheim, Mr. Benjamin</t>
  </si>
  <si>
    <t>Harder, Mr. George Achilles</t>
  </si>
  <si>
    <t>Harder, Mrs. George Achilles (Dorothy Annan)</t>
  </si>
  <si>
    <t>Harper, Mr. Henry Sleeper</t>
  </si>
  <si>
    <t>Harper, Mrs. Henry Sleeper (Myna Haxtun)</t>
  </si>
  <si>
    <t>Harrington, Mr. Charles H</t>
  </si>
  <si>
    <t>Harris, Mr. Henry Birkhardt</t>
  </si>
  <si>
    <t>Harris, Mrs. Henry Birkhardt (Irene Wallach)</t>
  </si>
  <si>
    <t>Harrison, Mr. William</t>
  </si>
  <si>
    <t>Hassab, Mr. Hammad</t>
  </si>
  <si>
    <t>Hawksford, Mr. Walter James</t>
  </si>
  <si>
    <t>Hays, Miss. Margaret Bechstein</t>
  </si>
  <si>
    <t>Hays, Mr. Charles Melville</t>
  </si>
  <si>
    <t>Hays, Mrs. Charles Melville (Clara Jennings Gregg)</t>
  </si>
  <si>
    <t>Head, Mr. Christopher</t>
  </si>
  <si>
    <t>Hilliard, Mr. Herbert Henry</t>
  </si>
  <si>
    <t>Hipkins, Mr. William Edward</t>
  </si>
  <si>
    <t>Hippach, Miss. Jean Gertrude</t>
  </si>
  <si>
    <t>Hippach, Mrs. Louis Albert (Ida Sophia Fischer)</t>
  </si>
  <si>
    <t>Hogeboom, Mrs. John C (Anna Andrews)</t>
  </si>
  <si>
    <t>Holverson, Mr. Alexander Oskar</t>
  </si>
  <si>
    <t>Holverson, Mrs. Alexander Oskar (Mary Aline Towner)</t>
  </si>
  <si>
    <t>Homer, Mr. Harry ("Mr E Haven")</t>
  </si>
  <si>
    <t>Hoyt, Mr. Frederick Maxfield</t>
  </si>
  <si>
    <t>Hoyt, Mr. William Fisher</t>
  </si>
  <si>
    <t>Hoyt, Mrs. Frederick Maxfield (Jane Anne Forby)</t>
  </si>
  <si>
    <t>Icard, Miss. Amelie</t>
  </si>
  <si>
    <t>Isham, Miss. Ann Elizabeth</t>
  </si>
  <si>
    <t>Ismay, Mr. Joseph Bruce</t>
  </si>
  <si>
    <t>Jones, Mr. Charles Cresson</t>
  </si>
  <si>
    <t>Julian, Mr. Henry Forbes</t>
  </si>
  <si>
    <t>Keeping, Mr. Edwin</t>
  </si>
  <si>
    <t>Kent, Mr. Edward Austin</t>
  </si>
  <si>
    <t>Kenyon, Mr. Frederick R</t>
  </si>
  <si>
    <t>Kenyon, Mrs. Frederick R (Marion)</t>
  </si>
  <si>
    <t>Kimball, Mr. Edwin Nelson Jr</t>
  </si>
  <si>
    <t>Kimball, Mrs. Edwin Nelson Jr (Gertrude Parsons)</t>
  </si>
  <si>
    <t>Klaber, Mr. Herman</t>
  </si>
  <si>
    <t>Kreuchen, Miss. Emilie</t>
  </si>
  <si>
    <t>Leader, Dr. Alice (Farnham)</t>
  </si>
  <si>
    <t>LeRoy, Miss. Bertha</t>
  </si>
  <si>
    <t>Lesurer, Mr. Gustave J</t>
  </si>
  <si>
    <t>Lewy, Mr. Ervin G</t>
  </si>
  <si>
    <t>Lindeberg-Lind, Mr. Erik Gustaf ("Mr Edward Lingrey")</t>
  </si>
  <si>
    <t>Lindstrom, Mrs. Carl Johan (Sigrid Posse)</t>
  </si>
  <si>
    <t>Lines, Miss. Mary Conover</t>
  </si>
  <si>
    <t>Lines, Mrs. Ernest H (Elizabeth Lindsey James)</t>
  </si>
  <si>
    <t>Long, Mr. Milton Clyde</t>
  </si>
  <si>
    <t>Longley, Miss. Gretchen Fiske</t>
  </si>
  <si>
    <t>Loring, Mr. Joseph Holland</t>
  </si>
  <si>
    <t>Lurette, Miss. Elise</t>
  </si>
  <si>
    <t>Madill, Miss. Georgette Alexandra</t>
  </si>
  <si>
    <t>Maguire, Mr. John Edward</t>
  </si>
  <si>
    <t>Maioni, Miss. Roberta</t>
  </si>
  <si>
    <t>Marechal, Mr. Pierre</t>
  </si>
  <si>
    <t>Marvin, Mr. Daniel Warner</t>
  </si>
  <si>
    <t>Marvin, Mrs. Daniel Warner (Mary Graham Carmichael Farquarson)</t>
  </si>
  <si>
    <t>Mayne, Mlle. Berthe Antonine ("Mrs de Villiers")</t>
  </si>
  <si>
    <t>McCaffry, Mr. Thomas Francis</t>
  </si>
  <si>
    <t>McCarthy, Mr. Timothy J</t>
  </si>
  <si>
    <t>McGough, Mr. James Robert</t>
  </si>
  <si>
    <t>Meyer, Mr. Edgar Joseph</t>
  </si>
  <si>
    <t>Meyer, Mrs. Edgar Joseph (Leila Saks)</t>
  </si>
  <si>
    <t>Millet, Mr. Francis Davis</t>
  </si>
  <si>
    <t>Minahan, Dr. William Edward</t>
  </si>
  <si>
    <t>Minahan, Miss. Daisy E</t>
  </si>
  <si>
    <t>Minahan, Mrs. William Edward (Lillian E Thorpe)</t>
  </si>
  <si>
    <t>Mock, Mr. Philipp Edmund</t>
  </si>
  <si>
    <t>Molson, Mr. Harry Markland</t>
  </si>
  <si>
    <t>Moore, Mr. Clarence Bloomfield</t>
  </si>
  <si>
    <t>Natsch, Mr. Charles H</t>
  </si>
  <si>
    <t>Newell, Miss. Madeleine</t>
  </si>
  <si>
    <t>Newell, Miss. Marjorie</t>
  </si>
  <si>
    <t>Newell, Mr. Arthur Webster</t>
  </si>
  <si>
    <t>Newsom, Miss. Helen Monypeny</t>
  </si>
  <si>
    <t>Nicholson, Mr. Arthur Ernest</t>
  </si>
  <si>
    <t>Oliva y Ocana, Dona. Fermina</t>
  </si>
  <si>
    <t>Omont, Mr. Alfred Fernand</t>
  </si>
  <si>
    <t>Ostby, Miss. Helene Ragnhild</t>
  </si>
  <si>
    <t>Ostby, Mr. Engelhart Cornelius</t>
  </si>
  <si>
    <t>Ovies y Rodriguez, Mr. Servando</t>
  </si>
  <si>
    <t>Parr, Mr. William Henry Marsh</t>
  </si>
  <si>
    <t>Partner, Mr. Austen</t>
  </si>
  <si>
    <t>Payne, Mr. Vivian Ponsonby</t>
  </si>
  <si>
    <t>Pears, Mr. Thomas Clinton</t>
  </si>
  <si>
    <t>Pears, Mrs. Thomas (Edith Wearne)</t>
  </si>
  <si>
    <t>Penasco y Castellana, Mr. Victor de Satode</t>
  </si>
  <si>
    <t>Penasco y Castellana, Mrs. Victor de Satode (Maria Josefa Perez de Soto y Vallejo)</t>
  </si>
  <si>
    <t>Perreault, Miss. Anne</t>
  </si>
  <si>
    <t>Peuchen, Major. Arthur Godfrey</t>
  </si>
  <si>
    <t>Porter, Mr. Walter Chamberlain</t>
  </si>
  <si>
    <t>Potter, Mrs. Thomas Jr (Lily Alexenia Wilson)</t>
  </si>
  <si>
    <t>Reuchlin, Jonkheer. John George</t>
  </si>
  <si>
    <t>Rheims, Mr. George Alexander Lucien</t>
  </si>
  <si>
    <t>Ringhini, Mr. Sante</t>
  </si>
  <si>
    <t>Robbins, Mr. Victor</t>
  </si>
  <si>
    <t>Robert, Mrs. Edward Scott (Elisabeth Walton McMillan)</t>
  </si>
  <si>
    <t>Roebling, Mr. Washington Augustus II</t>
  </si>
  <si>
    <t>Romaine, Mr. Charles Hallace ("Mr C Rolmane")</t>
  </si>
  <si>
    <t>Rood, Mr. Hugh Roscoe</t>
  </si>
  <si>
    <t>Rosenbaum, Miss. Edith Louise</t>
  </si>
  <si>
    <t>Rosenshine, Mr. George ("Mr George Thorne")</t>
  </si>
  <si>
    <t>Ross, Mr. John Hugo</t>
  </si>
  <si>
    <t>Rothes, the Countess. of (Lucy Noel Martha Dyer-Edwards)</t>
  </si>
  <si>
    <t>Rothschild, Mr. Martin</t>
  </si>
  <si>
    <t>Rothschild, Mrs. Martin (Elizabeth L. Barrett)</t>
  </si>
  <si>
    <t>Rowe, Mr. Alfred G</t>
  </si>
  <si>
    <t>Ryerson, Master. John Borie</t>
  </si>
  <si>
    <t>Ryerson, Miss. Emily Borie</t>
  </si>
  <si>
    <t>Ryerson, Miss. Susan Parker "Suzette"</t>
  </si>
  <si>
    <t>Ryerson, Mr. Arthur Larned</t>
  </si>
  <si>
    <t>Ryerson, Mrs. Arthur Larned (Emily Maria Borie)</t>
  </si>
  <si>
    <t>Saalfeld, Mr. Adolphe</t>
  </si>
  <si>
    <t>Sagesser, Mlle. Emma</t>
  </si>
  <si>
    <t>Salomon, Mr. Abraham L</t>
  </si>
  <si>
    <t>Schabert, Mrs. Paul (Emma Mock)</t>
  </si>
  <si>
    <t>Serepeca, Miss. Augusta</t>
  </si>
  <si>
    <t>Seward, Mr. Frederic Kimber</t>
  </si>
  <si>
    <t>Shutes, Miss. Elizabeth W</t>
  </si>
  <si>
    <t>Silverthorne, Mr. Spencer Victor</t>
  </si>
  <si>
    <t>Silvey, Mr. William Baird</t>
  </si>
  <si>
    <t>Silvey, Mrs. William Baird (Alice Munger)</t>
  </si>
  <si>
    <t>Simonius-Blumer, Col. Oberst Alfons</t>
  </si>
  <si>
    <t>Sloper, Mr. William Thompson</t>
  </si>
  <si>
    <t>Smart, Mr. John Montgomery</t>
  </si>
  <si>
    <t>Smith, Mr. James Clinch</t>
  </si>
  <si>
    <t>Smith, Mr. Lucien Philip</t>
  </si>
  <si>
    <t>Smith, Mr. Richard William</t>
  </si>
  <si>
    <t>Smith, Mrs. Lucien Philip (Mary Eloise Hughes)</t>
  </si>
  <si>
    <t>Snyder, Mr. John Pillsbury</t>
  </si>
  <si>
    <t>Snyder, Mrs. John Pillsbury (Nelle Stevenson)</t>
  </si>
  <si>
    <t>Spedden, Master. Robert Douglas</t>
  </si>
  <si>
    <t>Spedden, Mr. Frederic Oakley</t>
  </si>
  <si>
    <t>Spedden, Mrs. Frederic Oakley (Margaretta Corning Stone)</t>
  </si>
  <si>
    <t>Spencer, Mr. William Augustus</t>
  </si>
  <si>
    <t>Spencer, Mrs. William Augustus (Marie Eugenie)</t>
  </si>
  <si>
    <t>Stahelin-Maeglin, Dr. Max</t>
  </si>
  <si>
    <t>Stead, Mr. William Thomas</t>
  </si>
  <si>
    <t>Stengel, Mr. Charles Emil Henry</t>
  </si>
  <si>
    <t>Stengel, Mrs. Charles Emil Henry (Annie May Morris)</t>
  </si>
  <si>
    <t>Stephenson, Mrs. Walter Bertram (Martha Eustis)</t>
  </si>
  <si>
    <t>Stewart, Mr. Albert A</t>
  </si>
  <si>
    <t>Stone, Mrs. George Nelson (Martha Evelyn)</t>
  </si>
  <si>
    <t>Straus, Mr. Isidor</t>
  </si>
  <si>
    <t>Straus, Mrs. Isidor (Rosalie Ida Blun)</t>
  </si>
  <si>
    <t>Sutton, Mr. Frederick</t>
  </si>
  <si>
    <t>Swift, Mrs. Frederick Joel (Margaret Welles Barron)</t>
  </si>
  <si>
    <t>Taussig, Miss. Ruth</t>
  </si>
  <si>
    <t>Taussig, Mr. Emil</t>
  </si>
  <si>
    <t>Taussig, Mrs. Emil (Tillie Mandelbaum)</t>
  </si>
  <si>
    <t>Taylor, Mr. Elmer Zebley</t>
  </si>
  <si>
    <t>Taylor, Mrs. Elmer Zebley (Juliet Cummins Wright)</t>
  </si>
  <si>
    <t>Thayer, Mr. John Borland</t>
  </si>
  <si>
    <t>Thayer, Mr. John Borland Jr</t>
  </si>
  <si>
    <t>Thayer, Mrs. John Borland (Marian Longstreth Morris)</t>
  </si>
  <si>
    <t>Thorne, Mrs. Gertrude Maybelle</t>
  </si>
  <si>
    <t>Tucker, Mr. Gilbert Milligan Jr</t>
  </si>
  <si>
    <t>Uruchurtu, Don. Manuel E</t>
  </si>
  <si>
    <t>Van der hoef, Mr. Wyckoff</t>
  </si>
  <si>
    <t>Walker, Mr. William Anderson</t>
  </si>
  <si>
    <t>Ward, Miss. Anna</t>
  </si>
  <si>
    <t>Warren, Mr. Frank Manley</t>
  </si>
  <si>
    <t>Warren, Mrs. Frank Manley (Anna Sophia Atkinson)</t>
  </si>
  <si>
    <t>Weir, Col. John</t>
  </si>
  <si>
    <t>White, Mr. Percival Wayland</t>
  </si>
  <si>
    <t>White, Mr. Richard Frasar</t>
  </si>
  <si>
    <t>White, Mrs. John Stuart (Ella Holmes)</t>
  </si>
  <si>
    <t>Wick, Miss. Mary Natalie</t>
  </si>
  <si>
    <t>Wick, Mr. George Dennick</t>
  </si>
  <si>
    <t>Wick, Mrs. George Dennick (Mary Hitchcock)</t>
  </si>
  <si>
    <t>Widener, Mr. George Dunton</t>
  </si>
  <si>
    <t>Widener, Mr. Harry Elkins</t>
  </si>
  <si>
    <t>Widener, Mrs. George Dunton (Eleanor Elkins)</t>
  </si>
  <si>
    <t>Willard, Miss. Constance</t>
  </si>
  <si>
    <t>Williams, Mr. Charles Duane</t>
  </si>
  <si>
    <t>Williams, Mr. Richard Norris II</t>
  </si>
  <si>
    <t>Williams-Lambert, Mr. Fletcher Fellows</t>
  </si>
  <si>
    <t>Wilson, Miss. Helen Alice</t>
  </si>
  <si>
    <t>Woolner, Mr. Hugh</t>
  </si>
  <si>
    <t>Wright, Mr. George</t>
  </si>
  <si>
    <t>Young, Miss. Marie Grice</t>
  </si>
  <si>
    <t>Abelson, Mr. Samuel</t>
  </si>
  <si>
    <t>Abelson, Mrs. Samuel (Hannah Wizosky)</t>
  </si>
  <si>
    <t>Aldworth, Mr. Charles Augustus</t>
  </si>
  <si>
    <t>Andrew, Mr. Edgardo Samuel</t>
  </si>
  <si>
    <t>Andrew, Mr. Frank Thomas</t>
  </si>
  <si>
    <t>Angle, Mr. William A</t>
  </si>
  <si>
    <t>Angle, Mrs. William A (Florence "Mary" Agnes Hughes)</t>
  </si>
  <si>
    <t>Ashby, Mr. John</t>
  </si>
  <si>
    <t>Bailey, Mr. Percy Andrew</t>
  </si>
  <si>
    <t>Baimbrigge, Mr. Charles Robert</t>
  </si>
  <si>
    <t>Ball, Mrs. (Ada E Hall)</t>
  </si>
  <si>
    <t>Banfield, Mr. Frederick James</t>
  </si>
  <si>
    <t>Bateman, Rev. Robert James</t>
  </si>
  <si>
    <t>Beane, Mr. Edward</t>
  </si>
  <si>
    <t>Beane, Mrs. Edward (Ethel Clarke)</t>
  </si>
  <si>
    <t>Beauchamp, Mr. Henry James</t>
  </si>
  <si>
    <t>Becker, Master. Richard F</t>
  </si>
  <si>
    <t>Becker, Miss. Marion Louise</t>
  </si>
  <si>
    <t>Becker, Miss. Ruth Elizabeth</t>
  </si>
  <si>
    <t>Becker, Mrs. Allen Oliver (Nellie E Baumgardner)</t>
  </si>
  <si>
    <t>Beesley, Mr. Lawrence</t>
  </si>
  <si>
    <t>Bentham, Miss. Lilian W</t>
  </si>
  <si>
    <t>Berriman, Mr. William John</t>
  </si>
  <si>
    <t>Botsford, Mr. William Hull</t>
  </si>
  <si>
    <t>Bowenur, Mr. Solomon</t>
  </si>
  <si>
    <t>Bracken, Mr. James H</t>
  </si>
  <si>
    <t>Brown, Miss. Amelia "Mildred"</t>
  </si>
  <si>
    <t>Brown, Miss. Edith Eileen</t>
  </si>
  <si>
    <t>Brown, Mr. Thomas William Solomon</t>
  </si>
  <si>
    <t>Brown, Mrs. Thomas William Solomon (Elizabeth Catherine Ford)</t>
  </si>
  <si>
    <t xml:space="preserve">Bryhl, Miss. Dagmar Jenny Ingeborg </t>
  </si>
  <si>
    <t>Bryhl, Mr. Kurt Arnold Gottfrid</t>
  </si>
  <si>
    <t>Buss, Miss. Kate</t>
  </si>
  <si>
    <t>Butler, Mr. Reginald Fenton</t>
  </si>
  <si>
    <t>Byles, Rev. Thomas Roussel Davids</t>
  </si>
  <si>
    <t>Bystrom, Mrs. (Karolina)</t>
  </si>
  <si>
    <t>Caldwell, Master. Alden Gates</t>
  </si>
  <si>
    <t>Caldwell, Mr. Albert Francis</t>
  </si>
  <si>
    <t>Caldwell, Mrs. Albert Francis (Sylvia Mae Harbaugh)</t>
  </si>
  <si>
    <t>Cameron, Miss. Clear Annie</t>
  </si>
  <si>
    <t>Campbell, Mr. William</t>
  </si>
  <si>
    <t>Carbines, Mr. William</t>
  </si>
  <si>
    <t>Carter, Mrs. Ernest Courtenay (Lilian Hughes)</t>
  </si>
  <si>
    <t>Carter, Rev. Ernest Courtenay</t>
  </si>
  <si>
    <t>Chapman, Mr. Charles Henry</t>
  </si>
  <si>
    <t>Chapman, Mr. John Henry</t>
  </si>
  <si>
    <t>Chapman, Mrs. John Henry (Sara Elizabeth Lawry)</t>
  </si>
  <si>
    <t>Christy, Miss. Julie Rachel</t>
  </si>
  <si>
    <t>Christy, Mrs. (Alice Frances)</t>
  </si>
  <si>
    <t>Clarke, Mr. Charles Valentine</t>
  </si>
  <si>
    <t>Clarke, Mrs. Charles V (Ada Maria Winfield)</t>
  </si>
  <si>
    <t>Coleridge, Mr. Reginald Charles</t>
  </si>
  <si>
    <t>Collander, Mr. Erik Gustaf</t>
  </si>
  <si>
    <t>Collett, Mr. Sidney C Stuart</t>
  </si>
  <si>
    <t>Collyer, Miss. Marjorie "Lottie"</t>
  </si>
  <si>
    <t>Collyer, Mr. Harvey</t>
  </si>
  <si>
    <t>Collyer, Mrs. Harvey (Charlotte Annie Tate)</t>
  </si>
  <si>
    <t>Cook, Mrs. (Selena Rogers)</t>
  </si>
  <si>
    <t>Corbett, Mrs. Walter H (Irene Colvin)</t>
  </si>
  <si>
    <t>Corey, Mrs. Percy C (Mary Phyllis Elizabeth Miller)</t>
  </si>
  <si>
    <t>Cotterill, Mr. Henry "Harry"</t>
  </si>
  <si>
    <t>Cunningham, Mr. Alfred Fleming</t>
  </si>
  <si>
    <t>Davies, Master. John Morgan Jr</t>
  </si>
  <si>
    <t>Davies, Mr. Charles Henry</t>
  </si>
  <si>
    <t xml:space="preserve">Davies, Mrs. John Morgan (Elizabeth Agnes Mary White) </t>
  </si>
  <si>
    <t>Davis, Miss. Mary</t>
  </si>
  <si>
    <t>de Brito, Mr. Jose Joaquim</t>
  </si>
  <si>
    <t>Deacon, Mr. Percy William</t>
  </si>
  <si>
    <t>del Carlo, Mr. Sebastiano</t>
  </si>
  <si>
    <t>del Carlo, Mrs. Sebastiano (Argenia Genovesi)</t>
  </si>
  <si>
    <t>Denbury, Mr. Herbert</t>
  </si>
  <si>
    <t>Dibden, Mr. William</t>
  </si>
  <si>
    <t>Doling, Miss. Elsie</t>
  </si>
  <si>
    <t>Southampton</t>
  </si>
  <si>
    <t>Doling, Mrs. John T (Ada Julia Bone)</t>
  </si>
  <si>
    <t>Downton, Mr. William James</t>
  </si>
  <si>
    <t>Drew, Master. Marshall Brines</t>
  </si>
  <si>
    <t>Drew, Mr. James Vivian</t>
  </si>
  <si>
    <t>Drew, Mrs. James Vivian (Lulu Thorne Christian)</t>
  </si>
  <si>
    <t>Duran y More, Miss. Asuncion</t>
  </si>
  <si>
    <t>Duran y More, Miss. Florentina</t>
  </si>
  <si>
    <t>Eitemiller, Mr. George Floyd</t>
  </si>
  <si>
    <t>Enander, Mr. Ingvar</t>
  </si>
  <si>
    <t>Fahlstrom, Mr. Arne Jonas</t>
  </si>
  <si>
    <t>Faunthorpe, Mr. Harry</t>
  </si>
  <si>
    <t>Faunthorpe, Mrs. Lizzie (Elizabeth Anne Wilkinson)</t>
  </si>
  <si>
    <t>Fillbrook, Mr. Joseph Charles</t>
  </si>
  <si>
    <t>Fox, Mr. Stanley Hubert</t>
  </si>
  <si>
    <t>Frost, Mr. Anthony Wood "Archie"</t>
  </si>
  <si>
    <t>Funk, Miss. Annie Clemmer</t>
  </si>
  <si>
    <t>Fynney, Mr. Joseph J</t>
  </si>
  <si>
    <t>Gale, Mr. Harry</t>
  </si>
  <si>
    <t>Gale, Mr. Shadrach</t>
  </si>
  <si>
    <t>Garside, Miss. Ethel</t>
  </si>
  <si>
    <t>Gaskell, Mr. Alfred</t>
  </si>
  <si>
    <t>Gavey, Mr. Lawrence</t>
  </si>
  <si>
    <t>Gilbert, Mr. William</t>
  </si>
  <si>
    <t>Giles, Mr. Edgar</t>
  </si>
  <si>
    <t>Giles, Mr. Frederick Edward</t>
  </si>
  <si>
    <t>Giles, Mr. Ralph</t>
  </si>
  <si>
    <t>Gill, Mr. John William</t>
  </si>
  <si>
    <t>Gillespie, Mr. William Henry</t>
  </si>
  <si>
    <t>Givard, Mr. Hans Kristensen</t>
  </si>
  <si>
    <t>Greenberg, Mr. Samuel</t>
  </si>
  <si>
    <t>Hale, Mr. Reginald</t>
  </si>
  <si>
    <t>Hamalainen, Master. Viljo</t>
  </si>
  <si>
    <t>Hamalainen, Mrs. William (Anna)</t>
  </si>
  <si>
    <t>Harbeck, Mr. William H</t>
  </si>
  <si>
    <t>Harper, Miss. Annie Jessie "Nina"</t>
  </si>
  <si>
    <t>Harper, Rev. John</t>
  </si>
  <si>
    <t>Harris, Mr. George</t>
  </si>
  <si>
    <t>Harris, Mr. Walter</t>
  </si>
  <si>
    <t>Hart, Miss. Eva Miriam</t>
  </si>
  <si>
    <t>Hart, Mr. Benjamin</t>
  </si>
  <si>
    <t>Hart, Mrs. Benjamin (Esther Ada Bloomfield)</t>
  </si>
  <si>
    <t>Herman, Miss. Alice</t>
  </si>
  <si>
    <t>Herman, Miss. Kate</t>
  </si>
  <si>
    <t>Herman, Mr. Samuel</t>
  </si>
  <si>
    <t>Herman, Mrs. Samuel (Jane Laver)</t>
  </si>
  <si>
    <t xml:space="preserve">Hewlett, Mrs. (Mary D Kingcome) </t>
  </si>
  <si>
    <t>Hickman, Mr. Leonard Mark</t>
  </si>
  <si>
    <t>Hickman, Mr. Lewis</t>
  </si>
  <si>
    <t>Hickman, Mr. Stanley George</t>
  </si>
  <si>
    <t>Hiltunen, Miss. Marta</t>
  </si>
  <si>
    <t>Hocking, Miss. Ellen "Nellie"</t>
  </si>
  <si>
    <t>Hocking, Mr. Richard George</t>
  </si>
  <si>
    <t>Hocking, Mr. Samuel James Metcalfe</t>
  </si>
  <si>
    <t>Hocking, Mrs. Elizabeth (Eliza Needs)</t>
  </si>
  <si>
    <t>Hodges, Mr. Henry Price</t>
  </si>
  <si>
    <t>Hold, Mr. Stephen</t>
  </si>
  <si>
    <t>Hold, Mrs. Stephen (Annie Margaret Hill)</t>
  </si>
  <si>
    <t>Hood, Mr. Ambrose Jr</t>
  </si>
  <si>
    <t>Hosono, Mr. Masabumi</t>
  </si>
  <si>
    <t>Howard, Mr. Benjamin</t>
  </si>
  <si>
    <t>Howard, Mrs. Benjamin (Ellen Truelove Arman)</t>
  </si>
  <si>
    <t>Hunt, Mr. George Henry</t>
  </si>
  <si>
    <t>Ilett, Miss. Bertha</t>
  </si>
  <si>
    <t>Jacobsohn, Mr. Sidney Samuel</t>
  </si>
  <si>
    <t>Jacobsohn, Mrs. Sidney Samuel (Amy Frances Christy)</t>
  </si>
  <si>
    <t>Jarvis, Mr. John Denzil</t>
  </si>
  <si>
    <t>Jefferys, Mr. Clifford Thomas</t>
  </si>
  <si>
    <t>Jefferys, Mr. Ernest Wilfred</t>
  </si>
  <si>
    <t>Jenkin, Mr. Stephen Curnow</t>
  </si>
  <si>
    <t>Jerwan, Mrs. Amin S (Marie Marthe Thuillard)</t>
  </si>
  <si>
    <t>Kantor, Mr. Sinai</t>
  </si>
  <si>
    <t>Kantor, Mrs. Sinai (Miriam Sternin)</t>
  </si>
  <si>
    <t>Karnes, Mrs. J Frank (Claire Bennett)</t>
  </si>
  <si>
    <t>Keane, Miss. Nora A</t>
  </si>
  <si>
    <t>Keane, Mr. Daniel</t>
  </si>
  <si>
    <t>Kelly, Mrs. Florence "Fannie"</t>
  </si>
  <si>
    <t>Kirkland, Rev. Charles Leonard</t>
  </si>
  <si>
    <t>Knight, Mr. Robert J</t>
  </si>
  <si>
    <t>Kvillner, Mr. Johan Henrik Johannesson</t>
  </si>
  <si>
    <t>Lahtinen, Mrs. William (Anna Sylfven)</t>
  </si>
  <si>
    <t>Lahtinen, Rev. William</t>
  </si>
  <si>
    <t>Lamb, Mr. John Joseph</t>
  </si>
  <si>
    <t>Laroche, Miss. Louise</t>
  </si>
  <si>
    <t>Laroche, Miss. Simonne Marie Anne Andree</t>
  </si>
  <si>
    <t>Laroche, Mr. Joseph Philippe Lemercier</t>
  </si>
  <si>
    <t>Laroche, Mrs. Joseph (Juliette Marie Louise Lafargue)</t>
  </si>
  <si>
    <t>Lehmann, Miss. Bertha</t>
  </si>
  <si>
    <t>Leitch, Miss. Jessie Wills</t>
  </si>
  <si>
    <t>Lemore, Mrs. (Amelia Milley)</t>
  </si>
  <si>
    <t>Levy, Mr. Rene Jacques</t>
  </si>
  <si>
    <t>Leyson, Mr. Robert William Norman</t>
  </si>
  <si>
    <t>Lingane, Mr. John</t>
  </si>
  <si>
    <t>Louch, Mr. Charles Alexander</t>
  </si>
  <si>
    <t>Louch, Mrs. Charles Alexander (Alice Adelaide Slow)</t>
  </si>
  <si>
    <t>Mack, Mrs. (Mary)</t>
  </si>
  <si>
    <t>Malachard, Mr. Noel</t>
  </si>
  <si>
    <t>Mallet, Master. Andre</t>
  </si>
  <si>
    <t>Mallet, Mr. Albert</t>
  </si>
  <si>
    <t>Mallet, Mrs. Albert (Antoinette Magnin)</t>
  </si>
  <si>
    <t>Mangiavacchi, Mr. Serafino Emilio</t>
  </si>
  <si>
    <t>Matthews, Mr. William John</t>
  </si>
  <si>
    <t>Maybery, Mr. Frank Hubert</t>
  </si>
  <si>
    <t>McCrae, Mr. Arthur Gordon</t>
  </si>
  <si>
    <t>McCrie, Mr. James Matthew</t>
  </si>
  <si>
    <t>McKane, Mr. Peter David</t>
  </si>
  <si>
    <t>Mellinger, Miss. Madeleine Violet</t>
  </si>
  <si>
    <t>Mellinger, Mrs. (Elizabeth Anne Maidment)</t>
  </si>
  <si>
    <t>Mellors, Mr. William John</t>
  </si>
  <si>
    <t>Meyer, Mr. August</t>
  </si>
  <si>
    <t>Milling, Mr. Jacob Christian</t>
  </si>
  <si>
    <t>Mitchell, Mr. Henry Michael</t>
  </si>
  <si>
    <t>Montvila, Rev. Juozas</t>
  </si>
  <si>
    <t>Moraweck, Dr. Ernest</t>
  </si>
  <si>
    <t>Morley, Mr. Henry Samuel ("Mr Henry Marshall")</t>
  </si>
  <si>
    <t>Mudd, Mr. Thomas Charles</t>
  </si>
  <si>
    <t>Myles, Mr. Thomas Francis</t>
  </si>
  <si>
    <t>Nasser, Mr. Nicholas</t>
  </si>
  <si>
    <t>Nasser, Mrs. Nicholas (Adele Achem)</t>
  </si>
  <si>
    <t>Navratil, Master. Edmond Roger</t>
  </si>
  <si>
    <t>Navratil, Master. Michel M</t>
  </si>
  <si>
    <t>Navratil, Mr. Michel ("Louis M Hoffman")</t>
  </si>
  <si>
    <t>Nesson, Mr. Israel</t>
  </si>
  <si>
    <t>Nicholls, Mr. Joseph Charles</t>
  </si>
  <si>
    <t>Norman, Mr. Robert Douglas</t>
  </si>
  <si>
    <t>Nourney, Mr. Alfred ("Baron von Drachstedt")</t>
  </si>
  <si>
    <t>Nye, Mrs. (Elizabeth Ramell)</t>
  </si>
  <si>
    <t>Otter, Mr. Richard</t>
  </si>
  <si>
    <t>Oxenham, Mr. Percy Thomas</t>
  </si>
  <si>
    <t>Padro y Manent, Mr. Julian</t>
  </si>
  <si>
    <t>Pain, Dr. Alfred</t>
  </si>
  <si>
    <t>Pallas y Castello, Mr. Emilio</t>
  </si>
  <si>
    <t>Parker, Mr. Clifford Richard</t>
  </si>
  <si>
    <t>Parkes, Mr. Francis "Frank"</t>
  </si>
  <si>
    <t>Parrish, Mrs. (Lutie Davis)</t>
  </si>
  <si>
    <t>Pengelly, Mr. Frederick William</t>
  </si>
  <si>
    <t>Pernot, Mr. Rene</t>
  </si>
  <si>
    <t>Peruschitz, Rev. Joseph Maria</t>
  </si>
  <si>
    <t>Phillips, Miss. Alice Frances Louisa</t>
  </si>
  <si>
    <t>Phillips, Miss. Kate Florence ("Mrs Kate Louise Phillips Marshall")</t>
  </si>
  <si>
    <t>Phillips, Mr. Escott Robert</t>
  </si>
  <si>
    <t>Pinsky, Mrs. (Rosa)</t>
  </si>
  <si>
    <t>Ponesell, Mr. Martin</t>
  </si>
  <si>
    <t>Portaluppi, Mr. Emilio Ilario Giuseppe</t>
  </si>
  <si>
    <t>Pulbaum, Mr. Franz</t>
  </si>
  <si>
    <t>Quick, Miss. Phyllis May</t>
  </si>
  <si>
    <t>Quick, Miss. Winifred Vera</t>
  </si>
  <si>
    <t>Quick, Mrs. Frederick Charles (Jane Richards)</t>
  </si>
  <si>
    <t>Reeves, Mr. David</t>
  </si>
  <si>
    <t>Renouf, Mr. Peter Henry</t>
  </si>
  <si>
    <t>Renouf, Mrs. Peter Henry (Lillian Jefferys)</t>
  </si>
  <si>
    <t>Reynaldo, Ms. Encarnacion</t>
  </si>
  <si>
    <t>Richard, Mr. Emile</t>
  </si>
  <si>
    <t>Richards, Master. George Sibley</t>
  </si>
  <si>
    <t>Richards, Master. William Rowe</t>
  </si>
  <si>
    <t>Richards, Mrs. Sidney (Emily Hocking)</t>
  </si>
  <si>
    <t>Ridsdale, Miss. Lucy</t>
  </si>
  <si>
    <t>Rogers, Mr. Reginald Harry</t>
  </si>
  <si>
    <t>Rugg, Miss. Emily</t>
  </si>
  <si>
    <t>Schmidt, Mr. August</t>
  </si>
  <si>
    <t>Sedgwick, Mr. Charles Frederick Waddington</t>
  </si>
  <si>
    <t>Sharp, Mr. Percival James R</t>
  </si>
  <si>
    <t>Shelley, Mrs. William (Imanita Parrish Hall)</t>
  </si>
  <si>
    <t>Silven, Miss. Lyyli Karoliina</t>
  </si>
  <si>
    <t>Sincock, Miss. Maude</t>
  </si>
  <si>
    <t>Sinkkonen, Miss. Anna</t>
  </si>
  <si>
    <t>Sjostedt, Mr. Ernst Adolf</t>
  </si>
  <si>
    <t>Slayter, Miss. Hilda Mary</t>
  </si>
  <si>
    <t>Slemen, Mr. Richard James</t>
  </si>
  <si>
    <t>Smith, Miss. Marion Elsie</t>
  </si>
  <si>
    <t>Sobey, Mr. Samuel James Hayden</t>
  </si>
  <si>
    <t>Stanton, Mr. Samuel Ward</t>
  </si>
  <si>
    <t>Stokes, Mr. Philip Joseph</t>
  </si>
  <si>
    <t>Swane, Mr. George</t>
  </si>
  <si>
    <t>Sweet, Mr. George Frederick</t>
  </si>
  <si>
    <t>Toomey, Miss. Ellen</t>
  </si>
  <si>
    <t>Troupiansky, Mr. Moses Aaron</t>
  </si>
  <si>
    <t>Trout, Mrs. William H (Jessie L)</t>
  </si>
  <si>
    <t>Troutt, Miss. Edwina Celia "Winnie"</t>
  </si>
  <si>
    <t>Turpin, Mr. William John Robert</t>
  </si>
  <si>
    <t>Turpin, Mrs. William John Robert (Dorothy Ann Wonnacott)</t>
  </si>
  <si>
    <t>Veal, Mr. James</t>
  </si>
  <si>
    <t>Walcroft, Miss. Nellie</t>
  </si>
  <si>
    <t>Ware, Mr. John James</t>
  </si>
  <si>
    <t>Ware, Mr. William Jeffery</t>
  </si>
  <si>
    <t>Ware, Mrs. John James (Florence Louise Long)</t>
  </si>
  <si>
    <t>Watson, Mr. Ennis Hastings</t>
  </si>
  <si>
    <t>Watt, Miss. Bertha J</t>
  </si>
  <si>
    <t>Watt, Mrs. James (Elizabeth "Bessie" Inglis Milne)</t>
  </si>
  <si>
    <t>Webber, Miss. Susan</t>
  </si>
  <si>
    <t>Weisz, Mr. Leopold</t>
  </si>
  <si>
    <t>Weisz, Mrs. Leopold (Mathilde Francoise Pede)</t>
  </si>
  <si>
    <t>Wells, Master. Ralph Lester</t>
  </si>
  <si>
    <t>Wells, Miss. Joan</t>
  </si>
  <si>
    <t>Wells, Mrs. Arthur Henry ("Addie" Dart Trevaskis)</t>
  </si>
  <si>
    <t>West, Miss. Barbara J</t>
  </si>
  <si>
    <t>West, Miss. Constance Mirium</t>
  </si>
  <si>
    <t>West, Mr. Edwy Arthur</t>
  </si>
  <si>
    <t>West, Mrs. Edwy Arthur (Ada Mary Worth)</t>
  </si>
  <si>
    <t>Wheadon, Mr. Edward H</t>
  </si>
  <si>
    <t>Wheeler, Mr. Edwin "Frederick"</t>
  </si>
  <si>
    <t>Wilhelms, Mr. Charles</t>
  </si>
  <si>
    <t>Williams, Mr. Charles Eugene</t>
  </si>
  <si>
    <t>Wright, Miss. Marion</t>
  </si>
  <si>
    <t>Yrois, Miss. Henriette ("Mrs Harbeck")</t>
  </si>
  <si>
    <t>Abbing, Mr. Anthony</t>
  </si>
  <si>
    <t>Abbott, Master. Eugene Joseph</t>
  </si>
  <si>
    <t>Abbott, Mr. Rossmore Edward</t>
  </si>
  <si>
    <t>Abbott, Mrs. Stanton (Rosa Hunt)</t>
  </si>
  <si>
    <t>Abelseth, Miss. Karen Marie</t>
  </si>
  <si>
    <t>Abelseth, Mr. Olaus Jorgensen</t>
  </si>
  <si>
    <t>Abrahamsson, Mr. Abraham August Johannes</t>
  </si>
  <si>
    <t>Abrahim, Mrs. Joseph (Sophie Halaut Easu)</t>
  </si>
  <si>
    <t>Adahl, Mr. Mauritz Nils Martin</t>
  </si>
  <si>
    <t>Adams, Mr. John</t>
  </si>
  <si>
    <t>Ahlin, Mrs. Johan (Johanna Persdotter Larsson)</t>
  </si>
  <si>
    <t>Aks, Master. Philip Frank</t>
  </si>
  <si>
    <t>Aks, Mrs. Sam (Leah Rosen)</t>
  </si>
  <si>
    <t>Albimona, Mr. Nassef Cassem</t>
  </si>
  <si>
    <t>Alexander, Mr. William</t>
  </si>
  <si>
    <t>Alhomaki, Mr. Ilmari Rudolf</t>
  </si>
  <si>
    <t>Ali, Mr. Ahmed</t>
  </si>
  <si>
    <t>Ali, Mr. William</t>
  </si>
  <si>
    <t>Allen, Mr. William Henry</t>
  </si>
  <si>
    <t>Allum, Mr. Owen George</t>
  </si>
  <si>
    <t>Andersen, Mr. Albert Karvin</t>
  </si>
  <si>
    <t>Andersen-Jensen, Miss. Carla Christine Nielsine</t>
  </si>
  <si>
    <t>Andersson, Master. Sigvard Harald Elias</t>
  </si>
  <si>
    <t>Andersson, Miss. Ebba Iris Alfrida</t>
  </si>
  <si>
    <t>Andersson, Miss. Ellis Anna Maria</t>
  </si>
  <si>
    <t>Andersson, Miss. Erna Alexandra</t>
  </si>
  <si>
    <t>Andersson, Miss. Ida Augusta Margareta</t>
  </si>
  <si>
    <t>Andersson, Miss. Ingeborg Constanzia</t>
  </si>
  <si>
    <t>Andersson, Miss. Sigrid Elisabeth</t>
  </si>
  <si>
    <t>Andersson, Mr. Anders Johan</t>
  </si>
  <si>
    <t>Andersson, Mr. August Edvard ("Wennerstrom")</t>
  </si>
  <si>
    <t>Andersson, Mr. Johan Samuel</t>
  </si>
  <si>
    <t>Andersson, Mrs. Anders Johan (Alfrida Konstantia Brogren)</t>
  </si>
  <si>
    <t>Andreasson, Mr. Paul Edvin</t>
  </si>
  <si>
    <t>Angheloff, Mr. Minko</t>
  </si>
  <si>
    <t>Arnold-Franchi, Mr. Josef</t>
  </si>
  <si>
    <t>Arnold-Franchi, Mrs. Josef (Josefine Franchi)</t>
  </si>
  <si>
    <t>Aronsson, Mr. Ernst Axel Algot</t>
  </si>
  <si>
    <t>Asim, Mr. Adola</t>
  </si>
  <si>
    <t>Asplund, Master. Carl Edgar</t>
  </si>
  <si>
    <t>Asplund, Master. Clarence Gustaf Hugo</t>
  </si>
  <si>
    <t>Asplund, Master. Edvin Rojj Felix</t>
  </si>
  <si>
    <t>Asplund, Master. Filip Oscar</t>
  </si>
  <si>
    <t>Asplund, Miss. Lillian Gertrud</t>
  </si>
  <si>
    <t>Asplund, Mr. Carl Oscar Vilhelm Gustafsson</t>
  </si>
  <si>
    <t>Asplund, Mr. Johan Charles</t>
  </si>
  <si>
    <t>Asplund, Mrs. Carl Oscar (Selma Augusta Emilia Johansson)</t>
  </si>
  <si>
    <t>Assaf Khalil, Mrs. Mariana ("Miriam")</t>
  </si>
  <si>
    <t>Assaf, Mr. Gerios</t>
  </si>
  <si>
    <t>Assam, Mr. Ali</t>
  </si>
  <si>
    <t>Attalah, Miss. Malake</t>
  </si>
  <si>
    <t>Attalah, Mr. Sleiman</t>
  </si>
  <si>
    <t>Augustsson, Mr. Albert</t>
  </si>
  <si>
    <t>Ayoub, Miss. Banoura</t>
  </si>
  <si>
    <t>Baccos, Mr. Raffull</t>
  </si>
  <si>
    <t>Backstrom, Mr. Karl Alfred</t>
  </si>
  <si>
    <t>Backstrom, Mrs. Karl Alfred (Maria Mathilda Gustafsson)</t>
  </si>
  <si>
    <t>Baclini, Miss. Eugenie</t>
  </si>
  <si>
    <t>Baclini, Miss. Helene Barbara</t>
  </si>
  <si>
    <t>Baclini, Miss. Marie Catherine</t>
  </si>
  <si>
    <t>Baclini, Mrs. Solomon (Latifa Qurban)</t>
  </si>
  <si>
    <t>Badman, Miss. Emily Louisa</t>
  </si>
  <si>
    <t>Badt, Mr. Mohamed</t>
  </si>
  <si>
    <t>Balkic, Mr. Cerin</t>
  </si>
  <si>
    <t>Barah, Mr. Hanna Assi</t>
  </si>
  <si>
    <t>Barbara, Miss. Saiide</t>
  </si>
  <si>
    <t>Barbara, Mrs. (Catherine David)</t>
  </si>
  <si>
    <t>Barry, Miss. Julia</t>
  </si>
  <si>
    <t>Barton, Mr. David John</t>
  </si>
  <si>
    <t>Beavan, Mr. William Thomas</t>
  </si>
  <si>
    <t>Bengtsson, Mr. John Viktor</t>
  </si>
  <si>
    <t>Berglund, Mr. Karl Ivar Sven</t>
  </si>
  <si>
    <t>Betros, Master. Seman</t>
  </si>
  <si>
    <t>Betros, Mr. Tannous</t>
  </si>
  <si>
    <t>Bing, Mr. Lee</t>
  </si>
  <si>
    <t>Birkeland, Mr. Hans Martin Monsen</t>
  </si>
  <si>
    <t>Bjorklund, Mr. Ernst Herbert</t>
  </si>
  <si>
    <t>Bostandyeff, Mr. Guentcho</t>
  </si>
  <si>
    <t>Boulos, Master. Akar</t>
  </si>
  <si>
    <t>Boulos, Miss. Nourelain</t>
  </si>
  <si>
    <t>Boulos, Mr. Hanna</t>
  </si>
  <si>
    <t>Boulos, Mrs. Joseph (Sultana)</t>
  </si>
  <si>
    <t>Bourke, Miss. Mary</t>
  </si>
  <si>
    <t>Bourke, Mr. John</t>
  </si>
  <si>
    <t>Bourke, Mrs. John (Catherine)</t>
  </si>
  <si>
    <t>Bowen, Mr. David John "Dai"</t>
  </si>
  <si>
    <t>Bradley, Miss. Bridget Delia</t>
  </si>
  <si>
    <t>Braf, Miss. Elin Ester Maria</t>
  </si>
  <si>
    <t>Braund, Mr. Lewis Richard</t>
  </si>
  <si>
    <t>Braund, Mr. Owen Harris</t>
  </si>
  <si>
    <t>Brobeck, Mr. Karl Rudolf</t>
  </si>
  <si>
    <t>Brocklebank, Mr. William Alfred</t>
  </si>
  <si>
    <t>Buckley, Miss. Katherine</t>
  </si>
  <si>
    <t>Buckley, Mr. Daniel</t>
  </si>
  <si>
    <t>Burke, Mr. Jeremiah</t>
  </si>
  <si>
    <t>Burns, Miss. Mary Delia</t>
  </si>
  <si>
    <t>Cacic, Miss. Manda</t>
  </si>
  <si>
    <t>Cacic, Miss. Marija</t>
  </si>
  <si>
    <t>Cacic, Mr. Jego Grga</t>
  </si>
  <si>
    <t>Cacic, Mr. Luka</t>
  </si>
  <si>
    <t>Calic, Mr. Jovo</t>
  </si>
  <si>
    <t>Calic, Mr. Petar</t>
  </si>
  <si>
    <t>Canavan, Miss. Mary</t>
  </si>
  <si>
    <t>Canavan, Mr. Patrick</t>
  </si>
  <si>
    <t>Cann, Mr. Ernest Charles</t>
  </si>
  <si>
    <t>Caram, Mr. Joseph</t>
  </si>
  <si>
    <t>Caram, Mrs. Joseph (Maria Elias)</t>
  </si>
  <si>
    <t>Carlsson, Mr. August Sigfrid</t>
  </si>
  <si>
    <t>Carlsson, Mr. Carl Robert</t>
  </si>
  <si>
    <t>Carr, Miss. Helen "Ellen"</t>
  </si>
  <si>
    <t>Carr, Miss. Jeannie</t>
  </si>
  <si>
    <t>Carver, Mr. Alfred John</t>
  </si>
  <si>
    <t>Celotti, Mr. Francesco</t>
  </si>
  <si>
    <t>Charters, Mr. David</t>
  </si>
  <si>
    <t>Chip, Mr. Chang</t>
  </si>
  <si>
    <t>Christmann, Mr. Emil</t>
  </si>
  <si>
    <t>Chronopoulos, Mr. Apostolos</t>
  </si>
  <si>
    <t>Chronopoulos, Mr. Demetrios</t>
  </si>
  <si>
    <t>Coelho, Mr. Domingos Fernandeo</t>
  </si>
  <si>
    <t>Cohen, Mr. Gurshon "Gus"</t>
  </si>
  <si>
    <t>Colbert, Mr. Patrick</t>
  </si>
  <si>
    <t>Coleff, Mr. Peju</t>
  </si>
  <si>
    <t>Coleff, Mr. Satio</t>
  </si>
  <si>
    <t>Conlon, Mr. Thomas Henry</t>
  </si>
  <si>
    <t>Connaghton, Mr. Michael</t>
  </si>
  <si>
    <t>Connolly, Miss. Kate</t>
  </si>
  <si>
    <t>Connors, Mr. Patrick</t>
  </si>
  <si>
    <t>Cook, Mr. Jacob</t>
  </si>
  <si>
    <t>Cor, Mr. Bartol</t>
  </si>
  <si>
    <t>Cor, Mr. Ivan</t>
  </si>
  <si>
    <t>Cor, Mr. Liudevit</t>
  </si>
  <si>
    <t>Corn, Mr. Harry</t>
  </si>
  <si>
    <t>Coutts, Master. Eden Leslie "Neville"</t>
  </si>
  <si>
    <t>Coutts, Master. William Loch "William"</t>
  </si>
  <si>
    <t>Coutts, Mrs. William (Winnie "Minnie" Treanor)</t>
  </si>
  <si>
    <t>Coxon, Mr. Daniel</t>
  </si>
  <si>
    <t>Crease, Mr. Ernest James</t>
  </si>
  <si>
    <t>Cribb, Miss. Laura Alice</t>
  </si>
  <si>
    <t>Cribb, Mr. John Hatfield</t>
  </si>
  <si>
    <t>Culumovic, Mr. Jeso</t>
  </si>
  <si>
    <t>Daher, Mr. Shedid</t>
  </si>
  <si>
    <t>Dahl, Mr. Karl Edwart</t>
  </si>
  <si>
    <t>Dahlberg, Miss. Gerda Ulrika</t>
  </si>
  <si>
    <t>Dakic, Mr. Branko</t>
  </si>
  <si>
    <t>Daly, Miss. Margaret Marcella "Maggie"</t>
  </si>
  <si>
    <t>Daly, Mr. Eugene Patrick</t>
  </si>
  <si>
    <t>Danbom, Master. Gilbert Sigvard Emanuel</t>
  </si>
  <si>
    <t>Danbom, Mr. Ernst Gilbert</t>
  </si>
  <si>
    <t>Danbom, Mrs. Ernst Gilbert (Anna Sigrid Maria Brogren)</t>
  </si>
  <si>
    <t>Danoff, Mr. Yoto</t>
  </si>
  <si>
    <t>Dantcheff, Mr. Ristiu</t>
  </si>
  <si>
    <t>Davies, Mr. Alfred J</t>
  </si>
  <si>
    <t>Davies, Mr. Evan</t>
  </si>
  <si>
    <t>Davies, Mr. John Samuel</t>
  </si>
  <si>
    <t>Davies, Mr. Joseph</t>
  </si>
  <si>
    <t>Davison, Mr. Thomas Henry</t>
  </si>
  <si>
    <t>Davison, Mrs. Thomas Henry (Mary E Finck)</t>
  </si>
  <si>
    <t>de Messemaeker, Mr. Guillaume Joseph</t>
  </si>
  <si>
    <t>de Messemaeker, Mrs. Guillaume Joseph (Emma)</t>
  </si>
  <si>
    <t>de Mulder, Mr. Theodore</t>
  </si>
  <si>
    <t>de Pelsmaeker, Mr. Alfons</t>
  </si>
  <si>
    <t>Dean, Master. Bertram Vere</t>
  </si>
  <si>
    <t>Dean, Miss. Elizabeth Gladys "Millvina"</t>
  </si>
  <si>
    <t>Dean, Mr. Bertram Frank</t>
  </si>
  <si>
    <t>Dean, Mrs. Bertram (Eva Georgetta Light)</t>
  </si>
  <si>
    <t>Delalic, Mr. Redjo</t>
  </si>
  <si>
    <t>Demetri, Mr. Marinko</t>
  </si>
  <si>
    <t>Denkoff, Mr. Mitto</t>
  </si>
  <si>
    <t>Dennis, Mr. Samuel</t>
  </si>
  <si>
    <t>Dennis, Mr. William</t>
  </si>
  <si>
    <t>Devaney, Miss. Margaret Delia</t>
  </si>
  <si>
    <t>Dika, Mr. Mirko</t>
  </si>
  <si>
    <t>Dimic, Mr. Jovan</t>
  </si>
  <si>
    <t>Dintcheff, Mr. Valtcho</t>
  </si>
  <si>
    <t>Doharr, Mr. Tannous</t>
  </si>
  <si>
    <t>Dooley, Mr. Patrick</t>
  </si>
  <si>
    <t>Dorking, Mr. Edward Arthur</t>
  </si>
  <si>
    <t>Dowdell, Miss. Elizabeth</t>
  </si>
  <si>
    <t>Doyle, Miss. Elizabeth</t>
  </si>
  <si>
    <t>Drapkin, Miss. Jennie</t>
  </si>
  <si>
    <t>Drazenoic, Mr. Jozef</t>
  </si>
  <si>
    <t>Duane, Mr. Frank</t>
  </si>
  <si>
    <t>Duquemin, Mr. Joseph</t>
  </si>
  <si>
    <t>Dyker, Mr. Adolf Fredrik</t>
  </si>
  <si>
    <t>Dyker, Mrs. Adolf Fredrik (Anna Elisabeth Judith Andersson)</t>
  </si>
  <si>
    <t>Edvardsson, Mr. Gustaf Hjalmar</t>
  </si>
  <si>
    <t>Eklund, Mr. Hans Linus</t>
  </si>
  <si>
    <t>Ekstrom, Mr. Johan</t>
  </si>
  <si>
    <t>Elias, Mr. Dibo</t>
  </si>
  <si>
    <t>Elias, Mr. Joseph</t>
  </si>
  <si>
    <t>Elias, Mr. Joseph Jr</t>
  </si>
  <si>
    <t>Elias, Mr. Tannous</t>
  </si>
  <si>
    <t>Elsbury, Mr. William James</t>
  </si>
  <si>
    <t>Emanuel, Miss. Virginia Ethel</t>
  </si>
  <si>
    <t>Emir, Mr. Farred Chehab</t>
  </si>
  <si>
    <t>Everett, Mr. Thomas James</t>
  </si>
  <si>
    <t>Farrell, Mr. James</t>
  </si>
  <si>
    <t>Finoli, Mr. Luigi</t>
  </si>
  <si>
    <t>Fischer, Mr. Eberhard Thelander</t>
  </si>
  <si>
    <t>Fleming, Miss. Honora</t>
  </si>
  <si>
    <t>Flynn, Mr. James</t>
  </si>
  <si>
    <t>Flynn, Mr. John</t>
  </si>
  <si>
    <t>Foley, Mr. Joseph</t>
  </si>
  <si>
    <t>Foley, Mr. William</t>
  </si>
  <si>
    <t>Foo, Mr. Choong</t>
  </si>
  <si>
    <t>Ford, Miss. Doolina Margaret "Daisy"</t>
  </si>
  <si>
    <t>Ford, Miss. Robina Maggie "Ruby"</t>
  </si>
  <si>
    <t>Ford, Mr. Arthur</t>
  </si>
  <si>
    <t>Ford, Mr. Edward Watson</t>
  </si>
  <si>
    <t>Ford, Mr. William Neal</t>
  </si>
  <si>
    <t>Ford, Mrs. Edward (Margaret Ann Watson)</t>
  </si>
  <si>
    <t>Fox, Mr. Patrick</t>
  </si>
  <si>
    <t>Franklin, Mr. Charles (Charles Fardon)</t>
  </si>
  <si>
    <t>Gallagher, Mr. Martin</t>
  </si>
  <si>
    <t>Garfirth, Mr. John</t>
  </si>
  <si>
    <t>Gheorgheff, Mr. Stanio</t>
  </si>
  <si>
    <t>Gilinski, Mr. Eliezer</t>
  </si>
  <si>
    <t>Gilnagh, Miss. Katherine "Katie"</t>
  </si>
  <si>
    <t>Glynn, Miss. Mary Agatha</t>
  </si>
  <si>
    <t>Goldsmith, Master. Frank John William "Frankie"</t>
  </si>
  <si>
    <t>Goldsmith, Mr. Frank John</t>
  </si>
  <si>
    <t>Goldsmith, Mr. Nathan</t>
  </si>
  <si>
    <t>Goldsmith, Mrs. Frank John (Emily Alice Brown)</t>
  </si>
  <si>
    <t>Goncalves, Mr. Manuel Estanslas</t>
  </si>
  <si>
    <t>Goodwin, Master. Harold Victor</t>
  </si>
  <si>
    <t>Goodwin, Master. Sidney Leonard</t>
  </si>
  <si>
    <t>Goodwin, Master. William Frederick</t>
  </si>
  <si>
    <t>Goodwin, Miss. Jessie Allis</t>
  </si>
  <si>
    <t>Goodwin, Miss. Lillian Amy</t>
  </si>
  <si>
    <t>Goodwin, Mr. Charles Edward</t>
  </si>
  <si>
    <t>Goodwin, Mr. Charles Frederick</t>
  </si>
  <si>
    <t>Goodwin, Mrs. Frederick (Augusta Tyler)</t>
  </si>
  <si>
    <t>Green, Mr. George Henry</t>
  </si>
  <si>
    <t>Gronnestad, Mr. Daniel Danielsen</t>
  </si>
  <si>
    <t>Guest, Mr. Robert</t>
  </si>
  <si>
    <t>Gustafsson, Mr. Alfred Ossian</t>
  </si>
  <si>
    <t>Gustafsson, Mr. Anders Vilhelm</t>
  </si>
  <si>
    <t>Gustafsson, Mr. Johan Birger</t>
  </si>
  <si>
    <t>Gustafsson, Mr. Karl Gideon</t>
  </si>
  <si>
    <t>Haas, Miss. Aloisia</t>
  </si>
  <si>
    <t>Hagardon, Miss. Kate</t>
  </si>
  <si>
    <t>Hagland, Mr. Ingvald Olai Olsen</t>
  </si>
  <si>
    <t>Hagland, Mr. Konrad Mathias Reiersen</t>
  </si>
  <si>
    <t>Hakkarainen, Mr. Pekka Pietari</t>
  </si>
  <si>
    <t>Hakkarainen, Mrs. Pekka Pietari (Elin Matilda Dolck)</t>
  </si>
  <si>
    <t>Hampe, Mr. Leon</t>
  </si>
  <si>
    <t>Hanna, Mr. Mansour</t>
  </si>
  <si>
    <t>Hansen, Mr. Claus Peter</t>
  </si>
  <si>
    <t>Hansen, Mr. Henrik Juul</t>
  </si>
  <si>
    <t>Hansen, Mr. Henry Damsgaard</t>
  </si>
  <si>
    <t>Hansen, Mrs. Claus Peter (Jennie L Howard)</t>
  </si>
  <si>
    <t>Harknett, Miss. Alice Phoebe</t>
  </si>
  <si>
    <t>Harmer, Mr. Abraham (David Lishin)</t>
  </si>
  <si>
    <t>Hart, Mr. Henry</t>
  </si>
  <si>
    <t>Hassan, Mr. Houssein G N</t>
  </si>
  <si>
    <t>Healy, Miss. Hanora "Nora"</t>
  </si>
  <si>
    <t>Hedman, Mr. Oskar Arvid</t>
  </si>
  <si>
    <t>Hee, Mr. Ling</t>
  </si>
  <si>
    <t>Hegarty, Miss. Hanora "Nora"</t>
  </si>
  <si>
    <t>Heikkinen, Miss. Laina</t>
  </si>
  <si>
    <t>Heininen, Miss. Wendla Maria</t>
  </si>
  <si>
    <t>Hellstrom, Miss. Hilda Maria</t>
  </si>
  <si>
    <t>Hendekovic, Mr. Ignjac</t>
  </si>
  <si>
    <t>Henriksson, Miss. Jenny Lovisa</t>
  </si>
  <si>
    <t>Henry, Miss. Delia</t>
  </si>
  <si>
    <t>Hirvonen, Miss. Hildur E</t>
  </si>
  <si>
    <t>Hirvonen, Mrs. Alexander (Helga E Lindqvist)</t>
  </si>
  <si>
    <t>Holm, Mr. John Fredrik Alexander</t>
  </si>
  <si>
    <t>Holthen, Mr. Johan Martin</t>
  </si>
  <si>
    <t>Honkanen, Miss. Eliina</t>
  </si>
  <si>
    <t>Horgan, Mr. John</t>
  </si>
  <si>
    <t>Howard, Miss. May Elizabeth</t>
  </si>
  <si>
    <t>Humblen, Mr. Adolf Mathias Nicolai Olsen</t>
  </si>
  <si>
    <t>Hyman, Mr. Abraham</t>
  </si>
  <si>
    <t>Ibrahim Shawah, Mr. Yousseff</t>
  </si>
  <si>
    <t>Ilieff, Mr. Ylio</t>
  </si>
  <si>
    <t>Ilmakangas, Miss. Ida Livija</t>
  </si>
  <si>
    <t>Ilmakangas, Miss. Pieta Sofia</t>
  </si>
  <si>
    <t>Ivanoff, Mr. Kanio</t>
  </si>
  <si>
    <t>Jalsevac, Mr. Ivan</t>
  </si>
  <si>
    <t>Jansson, Mr. Carl Olof</t>
  </si>
  <si>
    <t>Jardin, Mr. Jose Neto</t>
  </si>
  <si>
    <t>Jensen, Mr. Hans Peder</t>
  </si>
  <si>
    <t>Jensen, Mr. Niels Peder</t>
  </si>
  <si>
    <t>Jensen, Mr. Svend Lauritz</t>
  </si>
  <si>
    <t>Jermyn, Miss. Annie</t>
  </si>
  <si>
    <t>Johannesen-Bratthammer, Mr. Bernt</t>
  </si>
  <si>
    <t>Johanson, Mr. Jakob Alfred</t>
  </si>
  <si>
    <t>Johansson Palmquist, Mr. Oskar Leander</t>
  </si>
  <si>
    <t>Johansson, Mr. Erik</t>
  </si>
  <si>
    <t>Johansson, Mr. Gustaf Joel</t>
  </si>
  <si>
    <t>Johansson, Mr. Karl Johan</t>
  </si>
  <si>
    <t>Johansson, Mr. Nils</t>
  </si>
  <si>
    <t>Johnson, Master. Harold Theodor</t>
  </si>
  <si>
    <t>Johnson, Miss. Eleanor Ileen</t>
  </si>
  <si>
    <t>Johnson, Mr. Alfred</t>
  </si>
  <si>
    <t>Johnson, Mr. Malkolm Joackim</t>
  </si>
  <si>
    <t>Johnson, Mr. William Cahoone Jr</t>
  </si>
  <si>
    <t>Johnson, Mrs. Oscar W (Elisabeth Vilhelmina Berg)</t>
  </si>
  <si>
    <t>Johnston, Master. William Arthur "Willie"</t>
  </si>
  <si>
    <t>Johnston, Miss. Catherine Helen "Carrie"</t>
  </si>
  <si>
    <t>Johnston, Mr. Andrew G</t>
  </si>
  <si>
    <t>Johnston, Mrs. Andrew G (Elizabeth "Lily" Watson)</t>
  </si>
  <si>
    <t>Jonkoff, Mr. Lalio</t>
  </si>
  <si>
    <t>Jonsson, Mr. Carl</t>
  </si>
  <si>
    <t>Jonsson, Mr. Nils Hilding</t>
  </si>
  <si>
    <t>Jussila, Miss. Katriina</t>
  </si>
  <si>
    <t>Jussila, Miss. Mari Aina</t>
  </si>
  <si>
    <t>Jussila, Mr. Eiriik</t>
  </si>
  <si>
    <t>Kallio, Mr. Nikolai Erland</t>
  </si>
  <si>
    <t>Kalvik, Mr. Johannes Halvorsen</t>
  </si>
  <si>
    <t>Karaic, Mr. Milan</t>
  </si>
  <si>
    <t>Karlsson, Mr. Einar Gervasius</t>
  </si>
  <si>
    <t>Karlsson, Mr. Julius Konrad Eugen</t>
  </si>
  <si>
    <t>Karlsson, Mr. Nils August</t>
  </si>
  <si>
    <t>Karun, Miss. Manca</t>
  </si>
  <si>
    <t>Karun, Mr. Franz</t>
  </si>
  <si>
    <t>Kassem, Mr. Fared</t>
  </si>
  <si>
    <t>Katavelas, Mr. Vassilios ("Catavelas Vassilios")</t>
  </si>
  <si>
    <t>Keane, Mr. Andrew "Andy"</t>
  </si>
  <si>
    <t>Keefe, Mr. Arthur</t>
  </si>
  <si>
    <t>Kelly, Miss. Anna Katherine "Annie Kate"</t>
  </si>
  <si>
    <t>Kelly, Miss. Mary</t>
  </si>
  <si>
    <t>Kelly, Mr. James</t>
  </si>
  <si>
    <t>Kennedy, Mr. John</t>
  </si>
  <si>
    <t>Khalil, Mr. Betros</t>
  </si>
  <si>
    <t>Khalil, Mrs. Betros (Zahie "Maria" Elias)</t>
  </si>
  <si>
    <t>Kiernan, Mr. John</t>
  </si>
  <si>
    <t>Kiernan, Mr. Philip</t>
  </si>
  <si>
    <t>Kilgannon, Mr. Thomas J</t>
  </si>
  <si>
    <t>Kink, Miss. Maria</t>
  </si>
  <si>
    <t>Kink, Mr. Vincenz</t>
  </si>
  <si>
    <t>Kink-Heilmann, Miss. Luise Gretchen</t>
  </si>
  <si>
    <t>Kink-Heilmann, Mr. Anton</t>
  </si>
  <si>
    <t>Kink-Heilmann, Mrs. Anton (Luise Heilmann)</t>
  </si>
  <si>
    <t>Klasen, Miss. Gertrud Emilia</t>
  </si>
  <si>
    <t>Klasen, Mr. Klas Albin</t>
  </si>
  <si>
    <t>Klasen, Mrs. (Hulda Kristina Eugenia Lofqvist)</t>
  </si>
  <si>
    <t>Kraeff, Mr. Theodor</t>
  </si>
  <si>
    <t>Krekorian, Mr. Neshan</t>
  </si>
  <si>
    <t>Lahoud, Mr. Sarkis</t>
  </si>
  <si>
    <t>Laitinen, Miss. Kristina Sofia</t>
  </si>
  <si>
    <t>Laleff, Mr. Kristo</t>
  </si>
  <si>
    <t>Lam, Mr. Ali</t>
  </si>
  <si>
    <t>Lam, Mr. Len</t>
  </si>
  <si>
    <t>Landergren, Miss. Aurora Adelia</t>
  </si>
  <si>
    <t>Lane, Mr. Patrick</t>
  </si>
  <si>
    <t>Lang, Mr. Fang</t>
  </si>
  <si>
    <t>Larsson, Mr. August Viktor</t>
  </si>
  <si>
    <t>Larsson, Mr. Bengt Edvin</t>
  </si>
  <si>
    <t>Larsson-Rondberg, Mr. Edvard A</t>
  </si>
  <si>
    <t>Leeni, Mr. Fahim ("Philip Zenni")</t>
  </si>
  <si>
    <t>Lefebre, Master. Henry Forbes</t>
  </si>
  <si>
    <t>Lefebre, Miss. Ida</t>
  </si>
  <si>
    <t>Lefebre, Miss. Jeannie</t>
  </si>
  <si>
    <t>Lefebre, Miss. Mathilde</t>
  </si>
  <si>
    <t>Lefebre, Mrs. Frank (Frances)</t>
  </si>
  <si>
    <t>Leinonen, Mr. Antti Gustaf</t>
  </si>
  <si>
    <t>Lemberopolous, Mr. Peter L</t>
  </si>
  <si>
    <t>Lennon, Miss. Mary</t>
  </si>
  <si>
    <t>Lennon, Mr. Denis</t>
  </si>
  <si>
    <t>Leonard, Mr. Lionel</t>
  </si>
  <si>
    <t>Lester, Mr. James</t>
  </si>
  <si>
    <t>Lievens, Mr. Rene Aime</t>
  </si>
  <si>
    <t>Lindahl, Miss. Agda Thorilda Viktoria</t>
  </si>
  <si>
    <t>Lindblom, Miss. Augusta Charlotta</t>
  </si>
  <si>
    <t>Lindell, Mr. Edvard Bengtsson</t>
  </si>
  <si>
    <t>Lindell, Mrs. Edvard Bengtsson (Elin Gerda Persson)</t>
  </si>
  <si>
    <t>Lindqvist, Mr. Eino William</t>
  </si>
  <si>
    <t>Linehan, Mr. Michael</t>
  </si>
  <si>
    <t>Ling, Mr. Lee</t>
  </si>
  <si>
    <t>Lithman, Mr. Simon</t>
  </si>
  <si>
    <t>Lobb, Mr. William Arthur</t>
  </si>
  <si>
    <t>Lobb, Mrs. William Arthur (Cordelia K Stanlick)</t>
  </si>
  <si>
    <t>Lockyer, Mr. Edward</t>
  </si>
  <si>
    <t>Lovell, Mr. John Hall ("Henry")</t>
  </si>
  <si>
    <t>Lulic, Mr. Nikola</t>
  </si>
  <si>
    <t>Lundahl, Mr. Johan Svensson</t>
  </si>
  <si>
    <t>Lundin, Miss. Olga Elida</t>
  </si>
  <si>
    <t>Lundstrom, Mr. Thure Edvin</t>
  </si>
  <si>
    <t>Lyntakoff, Mr. Stanko</t>
  </si>
  <si>
    <t>MacKay, Mr. George William</t>
  </si>
  <si>
    <t>Madigan, Miss. Margaret "Maggie"</t>
  </si>
  <si>
    <t>Madsen, Mr. Fridtjof Arne</t>
  </si>
  <si>
    <t>Maenpaa, Mr. Matti Alexanteri</t>
  </si>
  <si>
    <t>Mahon, Miss. Bridget Delia</t>
  </si>
  <si>
    <t>Mahon, Mr. John</t>
  </si>
  <si>
    <t>Maisner, Mr. Simon</t>
  </si>
  <si>
    <t>Makinen, Mr. Kalle Edvard</t>
  </si>
  <si>
    <t>Mamee, Mr. Hanna</t>
  </si>
  <si>
    <t>Mangan, Miss. Mary</t>
  </si>
  <si>
    <t>Mannion, Miss. Margareth</t>
  </si>
  <si>
    <t>Mardirosian, Mr. Sarkis</t>
  </si>
  <si>
    <t>Markoff, Mr. Marin</t>
  </si>
  <si>
    <t>Markun, Mr. Johann</t>
  </si>
  <si>
    <t>Masselmani, Mrs. Fatima</t>
  </si>
  <si>
    <t>Matinoff, Mr. Nicola</t>
  </si>
  <si>
    <t>McCarthy, Miss. Catherine "Katie"</t>
  </si>
  <si>
    <t>McCormack, Mr. Thomas Joseph</t>
  </si>
  <si>
    <t>McCoy, Miss. Agnes</t>
  </si>
  <si>
    <t>McCoy, Miss. Alicia</t>
  </si>
  <si>
    <t>McCoy, Mr. Bernard</t>
  </si>
  <si>
    <t>McDermott, Miss. Brigdet Delia</t>
  </si>
  <si>
    <t>McEvoy, Mr. Michael</t>
  </si>
  <si>
    <t>McGovern, Miss. Mary</t>
  </si>
  <si>
    <t>McGowan, Miss. Anna "Annie"</t>
  </si>
  <si>
    <t>McGowan, Miss. Katherine</t>
  </si>
  <si>
    <t>McMahon, Mr. Martin</t>
  </si>
  <si>
    <t>McNamee, Mr. Neal</t>
  </si>
  <si>
    <t>McNamee, Mrs. Neal (Eileen O'Leary)</t>
  </si>
  <si>
    <t>McNeill, Miss. Bridget</t>
  </si>
  <si>
    <t>Meanwell, Miss. (Marion Ogden)</t>
  </si>
  <si>
    <t>Meek, Mrs. Thomas (Annie Louise Rowley)</t>
  </si>
  <si>
    <t>Meo, Mr. Alfonzo</t>
  </si>
  <si>
    <t>Mernagh, Mr. Robert</t>
  </si>
  <si>
    <t>Midtsjo, Mr. Karl Albert</t>
  </si>
  <si>
    <t>Miles, Mr. Frank</t>
  </si>
  <si>
    <t>Mineff, Mr. Ivan</t>
  </si>
  <si>
    <t>Minkoff, Mr. Lazar</t>
  </si>
  <si>
    <t>Mionoff, Mr. Stoytcho</t>
  </si>
  <si>
    <t>Mitkoff, Mr. Mito</t>
  </si>
  <si>
    <t>Mockler, Miss. Helen Mary "Ellie"</t>
  </si>
  <si>
    <t>Moen, Mr. Sigurd Hansen</t>
  </si>
  <si>
    <t>Moor, Master. Meier</t>
  </si>
  <si>
    <t>Moor, Mrs. (Beila)</t>
  </si>
  <si>
    <t>Moore, Mr. Leonard Charles</t>
  </si>
  <si>
    <t>Moran, Miss. Bertha</t>
  </si>
  <si>
    <t>Moran, Mr. Daniel J</t>
  </si>
  <si>
    <t>Moran, Mr. James</t>
  </si>
  <si>
    <t>Morley, Mr. William</t>
  </si>
  <si>
    <t>Morrow, Mr. Thomas Rowan</t>
  </si>
  <si>
    <t>Moss, Mr. Albert Johan</t>
  </si>
  <si>
    <t>Moubarek, Master. Gerios</t>
  </si>
  <si>
    <t>Moubarek, Master. Halim Gonios ("William George")</t>
  </si>
  <si>
    <t>Moubarek, Mrs. George (Omine "Amenia" Alexander)</t>
  </si>
  <si>
    <t>Moussa, Mrs. (Mantoura Boulos)</t>
  </si>
  <si>
    <t>Moutal, Mr. Rahamin Haim</t>
  </si>
  <si>
    <t>Mullens, Miss. Katherine "Katie"</t>
  </si>
  <si>
    <t>Mulvihill, Miss. Bertha E</t>
  </si>
  <si>
    <t>Murdlin, Mr. Joseph</t>
  </si>
  <si>
    <t>Murphy, Miss. Katherine "Kate"</t>
  </si>
  <si>
    <t>Murphy, Miss. Margaret Jane</t>
  </si>
  <si>
    <t>Murphy, Miss. Nora</t>
  </si>
  <si>
    <t>Myhrman, Mr. Pehr Fabian Oliver Malkolm</t>
  </si>
  <si>
    <t>Naidenoff, Mr. Penko</t>
  </si>
  <si>
    <t>Najib, Miss. Adele Kiamie "Jane"</t>
  </si>
  <si>
    <t>Nakid, Miss. Maria ("Mary")</t>
  </si>
  <si>
    <t>Nakid, Mr. Sahid</t>
  </si>
  <si>
    <t>Nakid, Mrs. Said (Waika "Mary" Mowad)</t>
  </si>
  <si>
    <t>Nancarrow, Mr. William Henry</t>
  </si>
  <si>
    <t>Nankoff, Mr. Minko</t>
  </si>
  <si>
    <t>Nasr, Mr. Mustafa</t>
  </si>
  <si>
    <t>Naughton, Miss. Hannah</t>
  </si>
  <si>
    <t>Nenkoff, Mr. Christo</t>
  </si>
  <si>
    <t>Nicola-Yarred, Master. Elias</t>
  </si>
  <si>
    <t>Nicola-Yarred, Miss. Jamila</t>
  </si>
  <si>
    <t>Nieminen, Miss. Manta Josefina</t>
  </si>
  <si>
    <t>Niklasson, Mr. Samuel</t>
  </si>
  <si>
    <t>Nilsson, Miss. Berta Olivia</t>
  </si>
  <si>
    <t>Nilsson, Miss. Helmina Josefina</t>
  </si>
  <si>
    <t>Nilsson, Mr. August Ferdinand</t>
  </si>
  <si>
    <t>Nirva, Mr. Iisakki Antino Aijo</t>
  </si>
  <si>
    <t>Niskanen, Mr. Juha</t>
  </si>
  <si>
    <t>Nosworthy, Mr. Richard Cater</t>
  </si>
  <si>
    <t>Novel, Mr. Mansouer</t>
  </si>
  <si>
    <t>Nysten, Miss. Anna Sofia</t>
  </si>
  <si>
    <t>Nysveen, Mr. Johan Hansen</t>
  </si>
  <si>
    <t>O'Brien, Mr. Thomas</t>
  </si>
  <si>
    <t>O'Brien, Mr. Timothy</t>
  </si>
  <si>
    <t>O'Brien, Mrs. Thomas (Johanna "Hannah" Godfrey)</t>
  </si>
  <si>
    <t>O'Connell, Mr. Patrick D</t>
  </si>
  <si>
    <t>O'Connor, Mr. Maurice</t>
  </si>
  <si>
    <t>O'Connor, Mr. Patrick</t>
  </si>
  <si>
    <t>Odahl, Mr. Nils Martin</t>
  </si>
  <si>
    <t>O'Donoghue, Ms. Bridget</t>
  </si>
  <si>
    <t>O'Driscoll, Miss. Bridget</t>
  </si>
  <si>
    <t>O'Dwyer, Miss. Ellen "Nellie"</t>
  </si>
  <si>
    <t>Ohman, Miss. Velin</t>
  </si>
  <si>
    <t>O'Keefe, Mr. Patrick</t>
  </si>
  <si>
    <t>O'Leary, Miss. Hanora "Norah"</t>
  </si>
  <si>
    <t>Olsen, Master. Artur Karl</t>
  </si>
  <si>
    <t>Olsen, Mr. Henry Margido</t>
  </si>
  <si>
    <t>Olsen, Mr. Karl Siegwart Andreas</t>
  </si>
  <si>
    <t>Olsen, Mr. Ole Martin</t>
  </si>
  <si>
    <t>Olsson, Miss. Elina</t>
  </si>
  <si>
    <t>Olsson, Mr. Nils Johan Goransson</t>
  </si>
  <si>
    <t>Olsson, Mr. Oscar Wilhelm</t>
  </si>
  <si>
    <t>Olsvigen, Mr. Thor Anderson</t>
  </si>
  <si>
    <t>Oreskovic, Miss. Jelka</t>
  </si>
  <si>
    <t>Oreskovic, Miss. Marija</t>
  </si>
  <si>
    <t>Oreskovic, Mr. Luka</t>
  </si>
  <si>
    <t>Osen, Mr. Olaf Elon</t>
  </si>
  <si>
    <t>Osman, Mrs. Mara</t>
  </si>
  <si>
    <t>O'Sullivan, Miss. Bridget Mary</t>
  </si>
  <si>
    <t>Palsson, Master. Gosta Leonard</t>
  </si>
  <si>
    <t>Palsson, Master. Paul Folke</t>
  </si>
  <si>
    <t>Palsson, Miss. Stina Viola</t>
  </si>
  <si>
    <t>Palsson, Miss. Torborg Danira</t>
  </si>
  <si>
    <t>Palsson, Mrs. Nils (Alma Cornelia Berglund)</t>
  </si>
  <si>
    <t>Panula, Master. Eino Viljami</t>
  </si>
  <si>
    <t>Panula, Master. Juha Niilo</t>
  </si>
  <si>
    <t>Panula, Master. Urho Abraham</t>
  </si>
  <si>
    <t>Panula, Mr. Ernesti Arvid</t>
  </si>
  <si>
    <t>Panula, Mr. Jaako Arnold</t>
  </si>
  <si>
    <t>Panula, Mrs. Juha (Maria Emilia Ojala)</t>
  </si>
  <si>
    <t>Pasic, Mr. Jakob</t>
  </si>
  <si>
    <t>Patchett, Mr. George</t>
  </si>
  <si>
    <t>Paulner, Mr. Uscher</t>
  </si>
  <si>
    <t>Pavlovic, Mr. Stefo</t>
  </si>
  <si>
    <t>Peacock, Master. Alfred Edward</t>
  </si>
  <si>
    <t>Peacock, Miss. Treasteall</t>
  </si>
  <si>
    <t>Peacock, Mrs. Benjamin (Edith Nile)</t>
  </si>
  <si>
    <t>Pearce, Mr. Ernest</t>
  </si>
  <si>
    <t>Pedersen, Mr. Olaf</t>
  </si>
  <si>
    <t>Peduzzi, Mr. Joseph</t>
  </si>
  <si>
    <t>Pekoniemi, Mr. Edvard</t>
  </si>
  <si>
    <t>Peltomaki, Mr. Nikolai Johannes</t>
  </si>
  <si>
    <t>Perkin, Mr. John Henry</t>
  </si>
  <si>
    <t>Persson, Mr. Ernst Ulrik</t>
  </si>
  <si>
    <t>Peter, Master. Michael J</t>
  </si>
  <si>
    <t>Peter, Miss. Anna</t>
  </si>
  <si>
    <t>Peter, Mrs. Catherine (Catherine Rizk)</t>
  </si>
  <si>
    <t>Peters, Miss. Katie</t>
  </si>
  <si>
    <t>Petersen, Mr. Marius</t>
  </si>
  <si>
    <t>Petranec, Miss. Matilda</t>
  </si>
  <si>
    <t>Petroff, Mr. Nedelio</t>
  </si>
  <si>
    <t>Petroff, Mr. Pastcho ("Pentcho")</t>
  </si>
  <si>
    <t>Petterson, Mr. Johan Emil</t>
  </si>
  <si>
    <t>Pettersson, Miss. Ellen Natalia</t>
  </si>
  <si>
    <t>Pickard, Mr. Berk (Berk Trembisky)</t>
  </si>
  <si>
    <t>Plotcharsky, Mr. Vasil</t>
  </si>
  <si>
    <t>Pokrnic, Mr. Mate</t>
  </si>
  <si>
    <t>Pokrnic, Mr. Tome</t>
  </si>
  <si>
    <t>Radeff, Mr. Alexander</t>
  </si>
  <si>
    <t>Rasmussen, Mrs. (Lena Jacobsen Solvang)</t>
  </si>
  <si>
    <t>Razi, Mr. Raihed</t>
  </si>
  <si>
    <t>Reed, Mr. James George</t>
  </si>
  <si>
    <t>Rekic, Mr. Tido</t>
  </si>
  <si>
    <t>Reynolds, Mr. Harold J</t>
  </si>
  <si>
    <t>Rice, Master. Albert</t>
  </si>
  <si>
    <t>Rice, Master. Arthur</t>
  </si>
  <si>
    <t>Rice, Master. Eric</t>
  </si>
  <si>
    <t>Rice, Master. Eugene</t>
  </si>
  <si>
    <t>Rice, Master. George Hugh</t>
  </si>
  <si>
    <t>Rice, Mrs. William (Margaret Norton)</t>
  </si>
  <si>
    <t>Riihivouri, Miss. Susanna Juhantytar "Sanni"</t>
  </si>
  <si>
    <t>Rintamaki, Mr. Matti</t>
  </si>
  <si>
    <t>Riordan, Miss. Johanna "Hannah"</t>
  </si>
  <si>
    <t>Risien, Mr. Samuel Beard</t>
  </si>
  <si>
    <t>Risien, Mrs. Samuel (Emma)</t>
  </si>
  <si>
    <t>Robins, Mr. Alexander A</t>
  </si>
  <si>
    <t>Robins, Mrs. Alexander A (Grace Charity Laury)</t>
  </si>
  <si>
    <t>Rogers, Mr. William John</t>
  </si>
  <si>
    <t>Rommetvedt, Mr. Knud Paust</t>
  </si>
  <si>
    <t>Rosblom, Miss. Salli Helena</t>
  </si>
  <si>
    <t>Rosblom, Mr. Viktor Richard</t>
  </si>
  <si>
    <t>Rosblom, Mrs. Viktor (Helena Wilhelmina)</t>
  </si>
  <si>
    <t>Roth, Miss. Sarah A</t>
  </si>
  <si>
    <t>Rouse, Mr. Richard Henry</t>
  </si>
  <si>
    <t>Rush, Mr. Alfred George John</t>
  </si>
  <si>
    <t>Ryan, Mr. Edward</t>
  </si>
  <si>
    <t>Ryan, Mr. Patrick</t>
  </si>
  <si>
    <t>Saad, Mr. Amin</t>
  </si>
  <si>
    <t>Saad, Mr. Khalil</t>
  </si>
  <si>
    <t>Saade, Mr. Jean Nassr</t>
  </si>
  <si>
    <t>Sadlier, Mr. Matthew</t>
  </si>
  <si>
    <t>Sadowitz, Mr. Harry</t>
  </si>
  <si>
    <t>Saether, Mr. Simon Sivertsen</t>
  </si>
  <si>
    <t>Sage, Master. Thomas Henry</t>
  </si>
  <si>
    <t>Sage, Master. William Henry</t>
  </si>
  <si>
    <t>Sage, Miss. Ada</t>
  </si>
  <si>
    <t>Sage, Miss. Constance Gladys</t>
  </si>
  <si>
    <t>Sage, Miss. Dorothy Edith "Dolly"</t>
  </si>
  <si>
    <t>Sage, Miss. Stella Anna</t>
  </si>
  <si>
    <t>Sage, Mr. Douglas Bullen</t>
  </si>
  <si>
    <t>Sage, Mr. Frederick</t>
  </si>
  <si>
    <t>Sage, Mr. George John Jr</t>
  </si>
  <si>
    <t>Sage, Mr. John George</t>
  </si>
  <si>
    <t>Sage, Mrs. John (Annie Bullen)</t>
  </si>
  <si>
    <t>Salander, Mr. Karl Johan</t>
  </si>
  <si>
    <t>Salkjelsvik, Miss. Anna Kristine</t>
  </si>
  <si>
    <t>Salonen, Mr. Johan Werner</t>
  </si>
  <si>
    <t>Samaan, Mr. Elias</t>
  </si>
  <si>
    <t>Samaan, Mr. Hanna</t>
  </si>
  <si>
    <t>Samaan, Mr. Youssef</t>
  </si>
  <si>
    <t>Sandstrom, Miss. Beatrice Irene</t>
  </si>
  <si>
    <t>Sandstrom, Mrs. Hjalmar (Agnes Charlotta Bengtsson)</t>
  </si>
  <si>
    <t>Sandstrom, Miss. Marguerite Rut</t>
  </si>
  <si>
    <t>Sap, Mr. Julius</t>
  </si>
  <si>
    <t>Saundercock, Mr. William Henry</t>
  </si>
  <si>
    <t>Sawyer, Mr. Frederick Charles</t>
  </si>
  <si>
    <t>Scanlan, Mr. James</t>
  </si>
  <si>
    <t>Sdycoff, Mr. Todor</t>
  </si>
  <si>
    <t>Shaughnessy, Mr. Patrick</t>
  </si>
  <si>
    <t>Sheerlinck, Mr. Jan Baptist</t>
  </si>
  <si>
    <t>Shellard, Mr. Frederick William</t>
  </si>
  <si>
    <t>Shine, Miss. Ellen Natalia</t>
  </si>
  <si>
    <t>Shorney, Mr. Charles Joseph</t>
  </si>
  <si>
    <t>Simmons, Mr. John</t>
  </si>
  <si>
    <t>Sirayanian, Mr. Orsen</t>
  </si>
  <si>
    <t>Sirota, Mr. Maurice</t>
  </si>
  <si>
    <t>Sivic, Mr. Husein</t>
  </si>
  <si>
    <t>Sivola, Mr. Antti Wilhelm</t>
  </si>
  <si>
    <t>Sjoblom, Miss. Anna Sofia</t>
  </si>
  <si>
    <t>Skoog, Master. Harald</t>
  </si>
  <si>
    <t>Skoog, Master. Karl Thorsten</t>
  </si>
  <si>
    <t>Skoog, Miss. Mabel</t>
  </si>
  <si>
    <t>Skoog, Miss. Margit Elizabeth</t>
  </si>
  <si>
    <t>Skoog, Mr. Wilhelm</t>
  </si>
  <si>
    <t>Skoog, Mrs. William (Anna Bernhardina Karlsson)</t>
  </si>
  <si>
    <t>Slabenoff, Mr. Petco</t>
  </si>
  <si>
    <t>Slocovski, Mr. Selman Francis</t>
  </si>
  <si>
    <t>Smiljanic, Mr. Mile</t>
  </si>
  <si>
    <t>Smith, Mr. Thomas</t>
  </si>
  <si>
    <t>Smyth, Miss. Julia</t>
  </si>
  <si>
    <t>Soholt, Mr. Peter Andreas Lauritz Andersen</t>
  </si>
  <si>
    <t>Somerton, Mr. Francis William</t>
  </si>
  <si>
    <t>Spector, Mr. Woolf</t>
  </si>
  <si>
    <t>Spinner, Mr. Henry John</t>
  </si>
  <si>
    <t>Staneff, Mr. Ivan</t>
  </si>
  <si>
    <t>Stankovic, Mr. Ivan</t>
  </si>
  <si>
    <t>Stanley, Miss. Amy Zillah Elsie</t>
  </si>
  <si>
    <t>Stanley, Mr. Edward Roland</t>
  </si>
  <si>
    <t>Storey, Mr. Thomas</t>
  </si>
  <si>
    <t>Stoytcheff, Mr. Ilia</t>
  </si>
  <si>
    <t>Strandberg, Miss. Ida Sofia</t>
  </si>
  <si>
    <t>Stranden, Mr. Juho</t>
  </si>
  <si>
    <t>Strilic, Mr. Ivan</t>
  </si>
  <si>
    <t>Strom, Miss. Telma Matilda</t>
  </si>
  <si>
    <t>Strom, Mrs. Wilhelm (Elna Matilda Persson)</t>
  </si>
  <si>
    <t>Sunderland, Mr. Victor Francis</t>
  </si>
  <si>
    <t>Sundman, Mr. Johan Julian</t>
  </si>
  <si>
    <t>Sutehall, Mr. Henry Jr</t>
  </si>
  <si>
    <t>Svensson, Mr. Johan</t>
  </si>
  <si>
    <t>Svensson, Mr. Johan Cervin</t>
  </si>
  <si>
    <t>Svensson, Mr. Olof</t>
  </si>
  <si>
    <t>Tenglin, Mr. Gunnar Isidor</t>
  </si>
  <si>
    <t>Theobald, Mr. Thomas Leonard</t>
  </si>
  <si>
    <t>Thomas, Master. Assad Alexander</t>
  </si>
  <si>
    <t>Thomas, Mr. Charles P</t>
  </si>
  <si>
    <t>Thomas, Mr. John</t>
  </si>
  <si>
    <t>Thomas, Mr. Tannous</t>
  </si>
  <si>
    <t>Thomas, Mrs. Alexander (Thamine "Thelma")</t>
  </si>
  <si>
    <t>Thomson, Mr. Alexander Morrison</t>
  </si>
  <si>
    <t>Thorneycroft, Mr. Percival</t>
  </si>
  <si>
    <t>Thorneycroft, Mrs. Percival (Florence Kate White)</t>
  </si>
  <si>
    <t>Tikkanen, Mr. Juho</t>
  </si>
  <si>
    <t>Tobin, Mr. Roger</t>
  </si>
  <si>
    <t>Todoroff, Mr. Lalio</t>
  </si>
  <si>
    <t>Tomlin, Mr. Ernest Portage</t>
  </si>
  <si>
    <t>Torber, Mr. Ernst William</t>
  </si>
  <si>
    <t>Torfa, Mr. Assad</t>
  </si>
  <si>
    <t>Tornquist, Mr. William Henry</t>
  </si>
  <si>
    <t>Toufik, Mr. Nakli</t>
  </si>
  <si>
    <t>Touma, Master. Georges Youssef</t>
  </si>
  <si>
    <t>Touma, Miss. Maria Youssef</t>
  </si>
  <si>
    <t>Touma, Mrs. Darwis (Hanne Youssef Razi)</t>
  </si>
  <si>
    <t>Turcin, Mr. Stjepan</t>
  </si>
  <si>
    <t>Turja, Miss. Anna Sofia</t>
  </si>
  <si>
    <t>Turkula, Mrs. (Hedwig)</t>
  </si>
  <si>
    <t>van Billiard, Master. James William</t>
  </si>
  <si>
    <t>van Billiard, Master. Walter John</t>
  </si>
  <si>
    <t>van Billiard, Mr. Austin Blyler</t>
  </si>
  <si>
    <t>Van Impe, Miss. Catharina</t>
  </si>
  <si>
    <t>Van Impe, Mr. Jean Baptiste</t>
  </si>
  <si>
    <t>Van Impe, Mrs. Jean Baptiste (Rosalie Paula Govaert)</t>
  </si>
  <si>
    <t>van Melkebeke, Mr. Philemon</t>
  </si>
  <si>
    <t>Vande Velde, Mr. Johannes Joseph</t>
  </si>
  <si>
    <t>Vande Walle, Mr. Nestor Cyriel</t>
  </si>
  <si>
    <t>Vanden Steen, Mr. Leo Peter</t>
  </si>
  <si>
    <t>Vander Cruyssen, Mr. Victor</t>
  </si>
  <si>
    <t>Vander Planke, Miss. Augusta Maria</t>
  </si>
  <si>
    <t>Vander Planke, Mr. Julius</t>
  </si>
  <si>
    <t>Vander Planke, Mr. Leo Edmondus</t>
  </si>
  <si>
    <t>Vander Planke, Mrs. Julius (Emelia Maria Vandemoortele)</t>
  </si>
  <si>
    <t>Vartanian, Mr. David</t>
  </si>
  <si>
    <t>Vendel, Mr. Olof Edvin</t>
  </si>
  <si>
    <t>Vestrom, Miss. Hulda Amanda Adolfina</t>
  </si>
  <si>
    <t>Vovk, Mr. Janko</t>
  </si>
  <si>
    <t>Waelens, Mr. Achille</t>
  </si>
  <si>
    <t>Ware, Mr. Frederick</t>
  </si>
  <si>
    <t>Warren, Mr. Charles William</t>
  </si>
  <si>
    <t>Webber, Mr. James</t>
  </si>
  <si>
    <t>Wenzel, Mr. Linhart</t>
  </si>
  <si>
    <t>Whabee, Mrs. George Joseph (Shawneene Abi-Saab)</t>
  </si>
  <si>
    <t>Widegren, Mr. Carl/Charles Peter</t>
  </si>
  <si>
    <t>Wiklund, Mr. Jakob Alfred</t>
  </si>
  <si>
    <t>Wiklund, Mr. Karl Johan</t>
  </si>
  <si>
    <t>Wilkes, Mrs. James (Ellen Needs)</t>
  </si>
  <si>
    <t>Willer, Mr. Aaron ("Abi Weller")</t>
  </si>
  <si>
    <t>Willey, Mr. Edward</t>
  </si>
  <si>
    <t>Williams, Mr. Howard Hugh "Harry"</t>
  </si>
  <si>
    <t>Williams, Mr. Leslie</t>
  </si>
  <si>
    <t>Windelov, Mr. Einar</t>
  </si>
  <si>
    <t>Wirz, Mr. Albert</t>
  </si>
  <si>
    <t>Wiseman, Mr. Phillippe</t>
  </si>
  <si>
    <t>Wittevrongel, Mr. Camille</t>
  </si>
  <si>
    <t>Yasbeck, Mr. Antoni</t>
  </si>
  <si>
    <t>Yasbeck, Mrs. Antoni (Selini Alexander)</t>
  </si>
  <si>
    <t>Youseff, Mr. Gerious</t>
  </si>
  <si>
    <t>Yousif, Mr. Wazli</t>
  </si>
  <si>
    <t>Yousseff, Mr. Gerious</t>
  </si>
  <si>
    <t>Zabour, Miss. Hileni</t>
  </si>
  <si>
    <t>Zabour, Miss. Thamine</t>
  </si>
  <si>
    <t>Zakarian, Mr. Mapriededer</t>
  </si>
  <si>
    <t>Zakarian, Mr. Ortin</t>
  </si>
  <si>
    <t>Zimmerman, Mr. Leo</t>
  </si>
  <si>
    <t>Passenger Class</t>
  </si>
  <si>
    <t>Survived?</t>
  </si>
  <si>
    <t>Name</t>
  </si>
  <si>
    <t>Sex</t>
  </si>
  <si>
    <t>Age</t>
  </si>
  <si>
    <t>Siblings and Spouses</t>
  </si>
  <si>
    <t>Parents and Children</t>
  </si>
  <si>
    <t>Fare</t>
  </si>
  <si>
    <t>Port of Embarkation</t>
  </si>
  <si>
    <t>Family Members</t>
  </si>
  <si>
    <t>Cherbourg</t>
  </si>
  <si>
    <t>Queenstown</t>
  </si>
  <si>
    <t>Female</t>
  </si>
  <si>
    <t>Male</t>
  </si>
  <si>
    <t>Age Brackets</t>
  </si>
  <si>
    <t>Unknown</t>
  </si>
  <si>
    <t>Etykiety wierszy</t>
  </si>
  <si>
    <t>Suma końcowa</t>
  </si>
  <si>
    <t>18 or less</t>
  </si>
  <si>
    <t>19-30</t>
  </si>
  <si>
    <t>31-40</t>
  </si>
  <si>
    <t>41-50</t>
  </si>
  <si>
    <t>51-60</t>
  </si>
  <si>
    <t>61-70</t>
  </si>
  <si>
    <t>70 or more</t>
  </si>
  <si>
    <t>Liczba z Name</t>
  </si>
  <si>
    <t>Etykiety kolumn</t>
  </si>
  <si>
    <t>titanic3 xls</t>
  </si>
  <si>
    <t>Titanic Passengers Dashboard</t>
  </si>
  <si>
    <t>Survived</t>
  </si>
  <si>
    <t>Liczba z Survived?</t>
  </si>
  <si>
    <t>Fare Brackets</t>
  </si>
  <si>
    <t>£10-£25</t>
  </si>
  <si>
    <t>£101-£150</t>
  </si>
  <si>
    <t>£151-£200</t>
  </si>
  <si>
    <t>£200 or more</t>
  </si>
  <si>
    <t>£26-£50</t>
  </si>
  <si>
    <t>£51-£100</t>
  </si>
  <si>
    <t>Less than £10</t>
  </si>
  <si>
    <t>Liczba z Passenger Class</t>
  </si>
  <si>
    <t>Died</t>
  </si>
  <si>
    <t>1st class</t>
  </si>
  <si>
    <t>2nd class</t>
  </si>
  <si>
    <t>3rd class</t>
  </si>
  <si>
    <t>Overall summary
Number of passengers: 1309</t>
  </si>
  <si>
    <t>Suma z Fare</t>
  </si>
  <si>
    <t>Liczba z Sex</t>
  </si>
  <si>
    <t>Liczba z Family Members</t>
  </si>
  <si>
    <t>Note: Unknown values were omitted from the graphs for clarification.</t>
  </si>
  <si>
    <t>ustawienia pola wartości -&gt; pokaż elementy bez danych</t>
  </si>
  <si>
    <t>Liczba z Port of Embarkation</t>
  </si>
  <si>
    <r>
      <rPr>
        <sz val="11"/>
        <rFont val="Calibri"/>
        <family val="2"/>
        <charset val="238"/>
        <scheme val="minor"/>
      </rPr>
      <t xml:space="preserve">Data taken from </t>
    </r>
    <r>
      <rPr>
        <u/>
        <sz val="11"/>
        <color theme="10"/>
        <rFont val="Calibri"/>
        <family val="2"/>
        <scheme val="minor"/>
      </rPr>
      <t>http://www.kaggle.com/datasets/vinicius150987/titanic3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</si>
</sst>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charset val="238"/>
      <scheme val="minor"/>
    </font>
    <font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Fill="1"/>
    <xf numFmtId="49" fontId="1" fillId="0" borderId="0" xfId="0" applyNumberFormat="1" applyFont="1" applyFill="1"/>
    <xf numFmtId="164" fontId="1" fillId="0" borderId="0" xfId="0" applyNumberFormat="1" applyFont="1" applyFill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1" fillId="0" borderId="0" xfId="0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49" fontId="1" fillId="0" borderId="0" xfId="0" applyNumberFormat="1" applyFont="1" applyFill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0" fillId="0" borderId="1" xfId="0" applyBorder="1"/>
    <xf numFmtId="0" fontId="0" fillId="0" borderId="0" xfId="0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Continuous"/>
      <protection locked="0"/>
    </xf>
    <xf numFmtId="164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2" fillId="3" borderId="0" xfId="0" applyFon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centerContinuous"/>
      <protection locked="0"/>
    </xf>
    <xf numFmtId="0" fontId="0" fillId="3" borderId="0" xfId="0" applyFill="1" applyBorder="1" applyAlignment="1" applyProtection="1">
      <alignment horizontal="centerContinuous"/>
      <protection locked="0"/>
    </xf>
    <xf numFmtId="0" fontId="4" fillId="2" borderId="0" xfId="1" applyFont="1" applyFill="1" applyAlignment="1" applyProtection="1">
      <protection locked="0"/>
    </xf>
    <xf numFmtId="0" fontId="3" fillId="2" borderId="0" xfId="1" applyFill="1" applyAlignment="1" applyProtection="1">
      <protection locked="0"/>
    </xf>
    <xf numFmtId="0" fontId="3" fillId="2" borderId="0" xfId="1" applyFill="1" applyAlignment="1" applyProtection="1">
      <alignment horizontal="left"/>
      <protection locked="0"/>
    </xf>
    <xf numFmtId="0" fontId="3" fillId="2" borderId="0" xfId="1" applyFill="1" applyBorder="1" applyAlignment="1" applyProtection="1">
      <alignment horizontal="left"/>
      <protection locked="0"/>
    </xf>
    <xf numFmtId="0" fontId="4" fillId="2" borderId="0" xfId="1" applyFont="1" applyFill="1" applyAlignment="1" applyProtection="1">
      <alignment horizontal="left"/>
      <protection locked="0"/>
    </xf>
  </cellXfs>
  <cellStyles count="2">
    <cellStyle name="Hiperłącze" xfId="1" builtinId="8"/>
    <cellStyle name="Normalny" xfId="0" builtinId="0"/>
  </cellStyles>
  <dxfs count="17">
    <dxf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£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£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Dark1 2" pivot="0" table="0" count="10">
      <tableStyleElement type="wholeTable" dxfId="16"/>
      <tableStyleElement type="headerRow" dxfId="15"/>
    </tableStyle>
  </tableStyles>
  <colors>
    <mruColors>
      <color rgb="FFF838C1"/>
      <color rgb="FFCC0000"/>
      <color rgb="FF996600"/>
      <color rgb="FFFF9933"/>
      <color rgb="FFFF33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projekt.xlsm]pivot!survived percent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5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tx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2"/>
        <c:spPr>
          <a:solidFill>
            <a:schemeClr val="tx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822853713900168"/>
          <c:y val="0.21833654126567512"/>
          <c:w val="0.48354292572199659"/>
          <c:h val="0.5668194808982211"/>
        </c:manualLayout>
      </c:layout>
      <c:pieChart>
        <c:varyColors val="1"/>
        <c:ser>
          <c:idx val="0"/>
          <c:order val="0"/>
          <c:tx>
            <c:strRef>
              <c:f>pivot!$B$44</c:f>
              <c:strCache>
                <c:ptCount val="1"/>
                <c:pt idx="0">
                  <c:v>Liczba z Name</c:v>
                </c:pt>
              </c:strCache>
            </c:strRef>
          </c:tx>
          <c:dPt>
            <c:idx val="0"/>
            <c:bubble3D val="0"/>
            <c:spPr>
              <a:solidFill>
                <a:schemeClr val="tx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EA-4B01-AE6F-FE370E30D7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EA-4B01-AE6F-FE370E30D743}"/>
              </c:ext>
            </c:extLst>
          </c:dPt>
          <c:cat>
            <c:strRef>
              <c:f>pivot!$A$45:$A$47</c:f>
              <c:strCache>
                <c:ptCount val="2"/>
                <c:pt idx="0">
                  <c:v>Died</c:v>
                </c:pt>
                <c:pt idx="1">
                  <c:v>Survived</c:v>
                </c:pt>
              </c:strCache>
            </c:strRef>
          </c:cat>
          <c:val>
            <c:numRef>
              <c:f>pivot!$B$45:$B$47</c:f>
              <c:numCache>
                <c:formatCode>General</c:formatCode>
                <c:ptCount val="2"/>
                <c:pt idx="0">
                  <c:v>809</c:v>
                </c:pt>
                <c:pt idx="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EA-4B01-AE6F-FE370E30D743}"/>
            </c:ext>
          </c:extLst>
        </c:ser>
        <c:ser>
          <c:idx val="1"/>
          <c:order val="1"/>
          <c:tx>
            <c:strRef>
              <c:f>pivot!$C$44</c:f>
              <c:strCache>
                <c:ptCount val="1"/>
                <c:pt idx="0">
                  <c:v>Liczba z Survived?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6EA-4B01-AE6F-FE370E30D7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6EA-4B01-AE6F-FE370E30D743}"/>
              </c:ext>
            </c:extLst>
          </c:dPt>
          <c:cat>
            <c:strRef>
              <c:f>pivot!$A$45:$A$47</c:f>
              <c:strCache>
                <c:ptCount val="2"/>
                <c:pt idx="0">
                  <c:v>Died</c:v>
                </c:pt>
                <c:pt idx="1">
                  <c:v>Survived</c:v>
                </c:pt>
              </c:strCache>
            </c:strRef>
          </c:cat>
          <c:val>
            <c:numRef>
              <c:f>pivot!$C$45:$C$47</c:f>
              <c:numCache>
                <c:formatCode>0.00%</c:formatCode>
                <c:ptCount val="2"/>
                <c:pt idx="0">
                  <c:v>0.61802902979373564</c:v>
                </c:pt>
                <c:pt idx="1">
                  <c:v>0.3819709702062643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EA-4B01-AE6F-FE370E30D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projekt.xlsm]pivot!class percent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31051983430981"/>
          <c:y val="0.23402960978150494"/>
          <c:w val="0.45378960331380386"/>
          <c:h val="0.53194194695716135"/>
        </c:manualLayout>
      </c:layout>
      <c:pieChart>
        <c:varyColors val="1"/>
        <c:ser>
          <c:idx val="0"/>
          <c:order val="0"/>
          <c:tx>
            <c:strRef>
              <c:f>pivot!$B$56</c:f>
              <c:strCache>
                <c:ptCount val="1"/>
                <c:pt idx="0">
                  <c:v>Liczba z Name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51-4655-8B82-83CCA1F0F2CE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51-4655-8B82-83CCA1F0F2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51-4655-8B82-83CCA1F0F2CE}"/>
              </c:ext>
            </c:extLst>
          </c:dPt>
          <c:cat>
            <c:strRef>
              <c:f>pivot!$A$57:$A$60</c:f>
              <c:strCache>
                <c:ptCount val="3"/>
                <c:pt idx="0">
                  <c:v>3rd class</c:v>
                </c:pt>
                <c:pt idx="1">
                  <c:v>2nd class</c:v>
                </c:pt>
                <c:pt idx="2">
                  <c:v>1st class</c:v>
                </c:pt>
              </c:strCache>
            </c:strRef>
          </c:cat>
          <c:val>
            <c:numRef>
              <c:f>pivot!$B$57:$B$60</c:f>
              <c:numCache>
                <c:formatCode>General</c:formatCode>
                <c:ptCount val="3"/>
                <c:pt idx="0">
                  <c:v>709</c:v>
                </c:pt>
                <c:pt idx="1">
                  <c:v>277</c:v>
                </c:pt>
                <c:pt idx="2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51-4655-8B82-83CCA1F0F2CE}"/>
            </c:ext>
          </c:extLst>
        </c:ser>
        <c:ser>
          <c:idx val="1"/>
          <c:order val="1"/>
          <c:tx>
            <c:strRef>
              <c:f>pivot!$C$56</c:f>
              <c:strCache>
                <c:ptCount val="1"/>
                <c:pt idx="0">
                  <c:v>Liczba z Passenger Class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68-4D90-886A-C56B293085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68-4D90-886A-C56B293085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68-4D90-886A-C56B29308514}"/>
              </c:ext>
            </c:extLst>
          </c:dPt>
          <c:cat>
            <c:strRef>
              <c:f>pivot!$A$57:$A$60</c:f>
              <c:strCache>
                <c:ptCount val="3"/>
                <c:pt idx="0">
                  <c:v>3rd class</c:v>
                </c:pt>
                <c:pt idx="1">
                  <c:v>2nd class</c:v>
                </c:pt>
                <c:pt idx="2">
                  <c:v>1st class</c:v>
                </c:pt>
              </c:strCache>
            </c:strRef>
          </c:cat>
          <c:val>
            <c:numRef>
              <c:f>pivot!$C$57:$C$60</c:f>
              <c:numCache>
                <c:formatCode>0.00%</c:formatCode>
                <c:ptCount val="3"/>
                <c:pt idx="0">
                  <c:v>0.54163483575248283</c:v>
                </c:pt>
                <c:pt idx="1">
                  <c:v>0.21161191749427044</c:v>
                </c:pt>
                <c:pt idx="2">
                  <c:v>0.24675324675324675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F6-494E-A734-ED6291858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projekt.xlsm]pivot!age brackets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Age of Passengers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3116371391076115"/>
          <c:y val="0.12488218799071767"/>
          <c:w val="0.75216961942257232"/>
          <c:h val="0.8380807651530436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pivot!$A$4:$A$11</c:f>
              <c:strCache>
                <c:ptCount val="7"/>
                <c:pt idx="0">
                  <c:v>18 or less</c:v>
                </c:pt>
                <c:pt idx="1">
                  <c:v>19-30</c:v>
                </c:pt>
                <c:pt idx="2">
                  <c:v>31-40</c:v>
                </c:pt>
                <c:pt idx="3">
                  <c:v>41-50</c:v>
                </c:pt>
                <c:pt idx="4">
                  <c:v>51-60</c:v>
                </c:pt>
                <c:pt idx="5">
                  <c:v>61-70</c:v>
                </c:pt>
                <c:pt idx="6">
                  <c:v>70 or more</c:v>
                </c:pt>
              </c:strCache>
            </c:strRef>
          </c:cat>
          <c:val>
            <c:numRef>
              <c:f>pivot!$B$4:$B$11</c:f>
              <c:numCache>
                <c:formatCode>General</c:formatCode>
                <c:ptCount val="7"/>
                <c:pt idx="0">
                  <c:v>193</c:v>
                </c:pt>
                <c:pt idx="1">
                  <c:v>418</c:v>
                </c:pt>
                <c:pt idx="2">
                  <c:v>211</c:v>
                </c:pt>
                <c:pt idx="3">
                  <c:v>129</c:v>
                </c:pt>
                <c:pt idx="4">
                  <c:v>63</c:v>
                </c:pt>
                <c:pt idx="5">
                  <c:v>24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8-489E-B1FE-4264B3EBF6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78595504"/>
        <c:axId val="1578598832"/>
      </c:barChart>
      <c:catAx>
        <c:axId val="1578595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78598832"/>
        <c:crosses val="autoZero"/>
        <c:auto val="1"/>
        <c:lblAlgn val="ctr"/>
        <c:lblOffset val="100"/>
        <c:noMultiLvlLbl val="0"/>
      </c:catAx>
      <c:valAx>
        <c:axId val="1578598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7859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projekt.xlsm]pivot!age brackets vs port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Port of Embarkation regarding the Age of Passengers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9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5489407574053243"/>
          <c:y val="0.12488218799071767"/>
          <c:w val="0.82697647169103861"/>
          <c:h val="0.8380807651530436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pivot!$B$22:$B$23</c:f>
              <c:strCache>
                <c:ptCount val="1"/>
                <c:pt idx="0">
                  <c:v>Cherbourg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pivot!$A$24:$A$31</c:f>
              <c:strCache>
                <c:ptCount val="7"/>
                <c:pt idx="0">
                  <c:v>18 or less</c:v>
                </c:pt>
                <c:pt idx="1">
                  <c:v>19-30</c:v>
                </c:pt>
                <c:pt idx="2">
                  <c:v>31-40</c:v>
                </c:pt>
                <c:pt idx="3">
                  <c:v>41-50</c:v>
                </c:pt>
                <c:pt idx="4">
                  <c:v>51-60</c:v>
                </c:pt>
                <c:pt idx="5">
                  <c:v>61-70</c:v>
                </c:pt>
                <c:pt idx="6">
                  <c:v>70 or more</c:v>
                </c:pt>
              </c:strCache>
            </c:strRef>
          </c:cat>
          <c:val>
            <c:numRef>
              <c:f>pivot!$B$24:$B$31</c:f>
              <c:numCache>
                <c:formatCode>General</c:formatCode>
                <c:ptCount val="7"/>
                <c:pt idx="0">
                  <c:v>37</c:v>
                </c:pt>
                <c:pt idx="1">
                  <c:v>73</c:v>
                </c:pt>
                <c:pt idx="2">
                  <c:v>41</c:v>
                </c:pt>
                <c:pt idx="3">
                  <c:v>34</c:v>
                </c:pt>
                <c:pt idx="4">
                  <c:v>21</c:v>
                </c:pt>
                <c:pt idx="5">
                  <c:v>4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9-4549-B9F2-F758BF3867D3}"/>
            </c:ext>
          </c:extLst>
        </c:ser>
        <c:ser>
          <c:idx val="1"/>
          <c:order val="1"/>
          <c:tx>
            <c:strRef>
              <c:f>pivot!$C$22:$C$23</c:f>
              <c:strCache>
                <c:ptCount val="1"/>
                <c:pt idx="0">
                  <c:v>Queenstown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pivot!$A$24:$A$31</c:f>
              <c:strCache>
                <c:ptCount val="7"/>
                <c:pt idx="0">
                  <c:v>18 or less</c:v>
                </c:pt>
                <c:pt idx="1">
                  <c:v>19-30</c:v>
                </c:pt>
                <c:pt idx="2">
                  <c:v>31-40</c:v>
                </c:pt>
                <c:pt idx="3">
                  <c:v>41-50</c:v>
                </c:pt>
                <c:pt idx="4">
                  <c:v>51-60</c:v>
                </c:pt>
                <c:pt idx="5">
                  <c:v>61-70</c:v>
                </c:pt>
                <c:pt idx="6">
                  <c:v>70 or more</c:v>
                </c:pt>
              </c:strCache>
            </c:strRef>
          </c:cat>
          <c:val>
            <c:numRef>
              <c:f>pivot!$C$24:$C$31</c:f>
              <c:numCache>
                <c:formatCode>General</c:formatCode>
                <c:ptCount val="7"/>
                <c:pt idx="0">
                  <c:v>11</c:v>
                </c:pt>
                <c:pt idx="1">
                  <c:v>20</c:v>
                </c:pt>
                <c:pt idx="2">
                  <c:v>13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D3-42CE-BEC3-2DC6CF7735FD}"/>
            </c:ext>
          </c:extLst>
        </c:ser>
        <c:ser>
          <c:idx val="2"/>
          <c:order val="2"/>
          <c:tx>
            <c:strRef>
              <c:f>pivot!$D$22:$D$23</c:f>
              <c:strCache>
                <c:ptCount val="1"/>
                <c:pt idx="0">
                  <c:v>Southampton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pivot!$A$24:$A$31</c:f>
              <c:strCache>
                <c:ptCount val="7"/>
                <c:pt idx="0">
                  <c:v>18 or less</c:v>
                </c:pt>
                <c:pt idx="1">
                  <c:v>19-30</c:v>
                </c:pt>
                <c:pt idx="2">
                  <c:v>31-40</c:v>
                </c:pt>
                <c:pt idx="3">
                  <c:v>41-50</c:v>
                </c:pt>
                <c:pt idx="4">
                  <c:v>51-60</c:v>
                </c:pt>
                <c:pt idx="5">
                  <c:v>61-70</c:v>
                </c:pt>
                <c:pt idx="6">
                  <c:v>70 or more</c:v>
                </c:pt>
              </c:strCache>
            </c:strRef>
          </c:cat>
          <c:val>
            <c:numRef>
              <c:f>pivot!$D$24:$D$31</c:f>
              <c:numCache>
                <c:formatCode>General</c:formatCode>
                <c:ptCount val="7"/>
                <c:pt idx="0">
                  <c:v>145</c:v>
                </c:pt>
                <c:pt idx="1">
                  <c:v>325</c:v>
                </c:pt>
                <c:pt idx="2">
                  <c:v>156</c:v>
                </c:pt>
                <c:pt idx="3">
                  <c:v>94</c:v>
                </c:pt>
                <c:pt idx="4">
                  <c:v>41</c:v>
                </c:pt>
                <c:pt idx="5">
                  <c:v>16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D3-42CE-BEC3-2DC6CF7735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3"/>
        <c:axId val="1775410848"/>
        <c:axId val="1775412096"/>
      </c:barChart>
      <c:catAx>
        <c:axId val="177541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75412096"/>
        <c:crosses val="autoZero"/>
        <c:auto val="1"/>
        <c:lblAlgn val="ctr"/>
        <c:lblOffset val="100"/>
        <c:noMultiLvlLbl val="0"/>
      </c:catAx>
      <c:valAx>
        <c:axId val="17754120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7541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8759965551181101"/>
          <c:y val="0.12536125702199344"/>
          <c:w val="0.26369203849518807"/>
          <c:h val="0.18103377273614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projekt.xlsm]pivot!fare brackets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Ticket Fare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pivot!$B$78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pivot!$A$79:$A$86</c:f>
              <c:strCache>
                <c:ptCount val="7"/>
                <c:pt idx="0">
                  <c:v>Less than £10</c:v>
                </c:pt>
                <c:pt idx="1">
                  <c:v>£10-£25</c:v>
                </c:pt>
                <c:pt idx="2">
                  <c:v>£26-£50</c:v>
                </c:pt>
                <c:pt idx="3">
                  <c:v>£51-£100</c:v>
                </c:pt>
                <c:pt idx="4">
                  <c:v>£101-£150</c:v>
                </c:pt>
                <c:pt idx="5">
                  <c:v>£151-£200</c:v>
                </c:pt>
                <c:pt idx="6">
                  <c:v>£200 or more</c:v>
                </c:pt>
              </c:strCache>
            </c:strRef>
          </c:cat>
          <c:val>
            <c:numRef>
              <c:f>pivot!$B$79:$B$86</c:f>
              <c:numCache>
                <c:formatCode>General</c:formatCode>
                <c:ptCount val="7"/>
                <c:pt idx="0">
                  <c:v>492</c:v>
                </c:pt>
                <c:pt idx="1">
                  <c:v>341</c:v>
                </c:pt>
                <c:pt idx="2">
                  <c:v>238</c:v>
                </c:pt>
                <c:pt idx="3">
                  <c:v>154</c:v>
                </c:pt>
                <c:pt idx="4">
                  <c:v>33</c:v>
                </c:pt>
                <c:pt idx="5">
                  <c:v>13</c:v>
                </c:pt>
                <c:pt idx="6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4-4C89-87FF-9130B1A28B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59172495"/>
        <c:axId val="1059174991"/>
      </c:barChart>
      <c:catAx>
        <c:axId val="105917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59174991"/>
        <c:crosses val="autoZero"/>
        <c:auto val="1"/>
        <c:lblAlgn val="ctr"/>
        <c:lblOffset val="100"/>
        <c:noMultiLvlLbl val="0"/>
      </c:catAx>
      <c:valAx>
        <c:axId val="1059174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59172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projekt.xlsm]pivot!age brackets vs sex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Sex of Passengers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3116371391076115"/>
          <c:y val="0.12488215488215489"/>
          <c:w val="0.72072539370078736"/>
          <c:h val="0.838080808080808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pivot!$B$92:$B$93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pivot!$A$94:$A$101</c:f>
              <c:strCache>
                <c:ptCount val="7"/>
                <c:pt idx="0">
                  <c:v>18 or less</c:v>
                </c:pt>
                <c:pt idx="1">
                  <c:v>19-30</c:v>
                </c:pt>
                <c:pt idx="2">
                  <c:v>31-40</c:v>
                </c:pt>
                <c:pt idx="3">
                  <c:v>41-50</c:v>
                </c:pt>
                <c:pt idx="4">
                  <c:v>51-60</c:v>
                </c:pt>
                <c:pt idx="5">
                  <c:v>61-70</c:v>
                </c:pt>
                <c:pt idx="6">
                  <c:v>70 or more</c:v>
                </c:pt>
              </c:strCache>
            </c:strRef>
          </c:cat>
          <c:val>
            <c:numRef>
              <c:f>pivot!$B$94:$B$101</c:f>
              <c:numCache>
                <c:formatCode>General</c:formatCode>
                <c:ptCount val="7"/>
                <c:pt idx="0">
                  <c:v>92</c:v>
                </c:pt>
                <c:pt idx="1">
                  <c:v>144</c:v>
                </c:pt>
                <c:pt idx="2">
                  <c:v>74</c:v>
                </c:pt>
                <c:pt idx="3">
                  <c:v>46</c:v>
                </c:pt>
                <c:pt idx="4">
                  <c:v>25</c:v>
                </c:pt>
                <c:pt idx="5">
                  <c:v>6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5-40AD-9D57-21F148F730D4}"/>
            </c:ext>
          </c:extLst>
        </c:ser>
        <c:ser>
          <c:idx val="1"/>
          <c:order val="1"/>
          <c:tx>
            <c:strRef>
              <c:f>pivot!$C$92:$C$93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pivot!$A$94:$A$101</c:f>
              <c:strCache>
                <c:ptCount val="7"/>
                <c:pt idx="0">
                  <c:v>18 or less</c:v>
                </c:pt>
                <c:pt idx="1">
                  <c:v>19-30</c:v>
                </c:pt>
                <c:pt idx="2">
                  <c:v>31-40</c:v>
                </c:pt>
                <c:pt idx="3">
                  <c:v>41-50</c:v>
                </c:pt>
                <c:pt idx="4">
                  <c:v>51-60</c:v>
                </c:pt>
                <c:pt idx="5">
                  <c:v>61-70</c:v>
                </c:pt>
                <c:pt idx="6">
                  <c:v>70 or more</c:v>
                </c:pt>
              </c:strCache>
            </c:strRef>
          </c:cat>
          <c:val>
            <c:numRef>
              <c:f>pivot!$C$94:$C$101</c:f>
              <c:numCache>
                <c:formatCode>General</c:formatCode>
                <c:ptCount val="7"/>
                <c:pt idx="0">
                  <c:v>101</c:v>
                </c:pt>
                <c:pt idx="1">
                  <c:v>274</c:v>
                </c:pt>
                <c:pt idx="2">
                  <c:v>137</c:v>
                </c:pt>
                <c:pt idx="3">
                  <c:v>83</c:v>
                </c:pt>
                <c:pt idx="4">
                  <c:v>38</c:v>
                </c:pt>
                <c:pt idx="5">
                  <c:v>18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0-4490-82AD-165ECE9A6D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axId val="856424783"/>
        <c:axId val="856425199"/>
      </c:barChart>
      <c:catAx>
        <c:axId val="8564247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56425199"/>
        <c:crosses val="autoZero"/>
        <c:auto val="1"/>
        <c:lblAlgn val="ctr"/>
        <c:lblOffset val="100"/>
        <c:noMultiLvlLbl val="0"/>
      </c:catAx>
      <c:valAx>
        <c:axId val="8564251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56424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105577427821533"/>
          <c:y val="0.13693549669927624"/>
          <c:w val="0.20267946194225722"/>
          <c:h val="0.120689151144242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projekt.xlsm]pivot!sex percent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1"/>
        <c:spPr>
          <a:solidFill>
            <a:schemeClr val="tx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tx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6303292657138239"/>
          <c:y val="0.22222222222222221"/>
          <c:w val="0.47393364928909959"/>
          <c:h val="0.55555555555555558"/>
        </c:manualLayout>
      </c:layout>
      <c:pieChart>
        <c:varyColors val="1"/>
        <c:ser>
          <c:idx val="0"/>
          <c:order val="0"/>
          <c:tx>
            <c:strRef>
              <c:f>pivot!$B$67</c:f>
              <c:strCache>
                <c:ptCount val="1"/>
                <c:pt idx="0">
                  <c:v>Liczba z Name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61-4EFE-9D30-4C454F4B34D3}"/>
              </c:ext>
            </c:extLst>
          </c:dPt>
          <c:dPt>
            <c:idx val="1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61-4EFE-9D30-4C454F4B34D3}"/>
              </c:ext>
            </c:extLst>
          </c:dPt>
          <c:cat>
            <c:strRef>
              <c:f>pivot!$A$68:$A$70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pivot!$B$68:$B$70</c:f>
              <c:numCache>
                <c:formatCode>General</c:formatCode>
                <c:ptCount val="2"/>
                <c:pt idx="0">
                  <c:v>843</c:v>
                </c:pt>
                <c:pt idx="1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61-4EFE-9D30-4C454F4B34D3}"/>
            </c:ext>
          </c:extLst>
        </c:ser>
        <c:ser>
          <c:idx val="1"/>
          <c:order val="1"/>
          <c:tx>
            <c:strRef>
              <c:f>pivot!$C$67</c:f>
              <c:strCache>
                <c:ptCount val="1"/>
                <c:pt idx="0">
                  <c:v>Liczba z Sex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661-4EFE-9D30-4C454F4B34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661-4EFE-9D30-4C454F4B34D3}"/>
              </c:ext>
            </c:extLst>
          </c:dPt>
          <c:cat>
            <c:strRef>
              <c:f>pivot!$A$68:$A$70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pivot!$C$68:$C$70</c:f>
              <c:numCache>
                <c:formatCode>0.00%</c:formatCode>
                <c:ptCount val="2"/>
                <c:pt idx="0">
                  <c:v>0.64400305576776162</c:v>
                </c:pt>
                <c:pt idx="1">
                  <c:v>0.35599694423223838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61-4EFE-9D30-4C454F4B3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projekt.xlsm]pivot!family members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Number of Family Members </a:t>
            </a:r>
            <a:r>
              <a:rPr lang="pl-PL" baseline="0"/>
              <a:t>of Passengers on Board</a:t>
            </a:r>
            <a:endParaRPr lang="pl-PL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pivot!$B$127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pivot!$A$128:$A$137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10</c:v>
                </c:pt>
              </c:strCache>
            </c:strRef>
          </c:cat>
          <c:val>
            <c:numRef>
              <c:f>pivot!$B$128:$B$137</c:f>
              <c:numCache>
                <c:formatCode>General</c:formatCode>
                <c:ptCount val="9"/>
                <c:pt idx="0">
                  <c:v>790</c:v>
                </c:pt>
                <c:pt idx="1">
                  <c:v>235</c:v>
                </c:pt>
                <c:pt idx="2">
                  <c:v>159</c:v>
                </c:pt>
                <c:pt idx="3">
                  <c:v>43</c:v>
                </c:pt>
                <c:pt idx="4">
                  <c:v>22</c:v>
                </c:pt>
                <c:pt idx="5">
                  <c:v>25</c:v>
                </c:pt>
                <c:pt idx="6">
                  <c:v>16</c:v>
                </c:pt>
                <c:pt idx="7">
                  <c:v>8</c:v>
                </c:pt>
                <c:pt idx="8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74-4753-850A-9FEBDC18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2046366863"/>
        <c:axId val="2046375183"/>
      </c:barChart>
      <c:catAx>
        <c:axId val="2046366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46375183"/>
        <c:crosses val="autoZero"/>
        <c:auto val="1"/>
        <c:lblAlgn val="ctr"/>
        <c:lblOffset val="100"/>
        <c:noMultiLvlLbl val="0"/>
      </c:catAx>
      <c:valAx>
        <c:axId val="20463751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4636686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projekt.xlsm]pivot!port vs fare bracket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Port</a:t>
            </a:r>
            <a:r>
              <a:rPr lang="pl-PL" baseline="0"/>
              <a:t> of Embarkation regarding the Ticket Fare</a:t>
            </a:r>
            <a:endParaRPr lang="pl-PL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8615964671082783"/>
          <c:y val="0.21798574358533052"/>
          <c:w val="0.64590384535266421"/>
          <c:h val="0.726382972620225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pivot!$B$140:$B$141</c:f>
              <c:strCache>
                <c:ptCount val="1"/>
                <c:pt idx="0">
                  <c:v>Cherbourg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pivot!$A$142:$A$149</c:f>
              <c:strCache>
                <c:ptCount val="7"/>
                <c:pt idx="0">
                  <c:v>Less than £10</c:v>
                </c:pt>
                <c:pt idx="1">
                  <c:v>£10-£25</c:v>
                </c:pt>
                <c:pt idx="2">
                  <c:v>£26-£50</c:v>
                </c:pt>
                <c:pt idx="3">
                  <c:v>£51-£100</c:v>
                </c:pt>
                <c:pt idx="4">
                  <c:v>£101-£150</c:v>
                </c:pt>
                <c:pt idx="5">
                  <c:v>£151-£200</c:v>
                </c:pt>
                <c:pt idx="6">
                  <c:v>£200 or more</c:v>
                </c:pt>
              </c:strCache>
            </c:strRef>
          </c:cat>
          <c:val>
            <c:numRef>
              <c:f>pivot!$B$142:$B$149</c:f>
              <c:numCache>
                <c:formatCode>General</c:formatCode>
                <c:ptCount val="7"/>
                <c:pt idx="0">
                  <c:v>59</c:v>
                </c:pt>
                <c:pt idx="1">
                  <c:v>60</c:v>
                </c:pt>
                <c:pt idx="2">
                  <c:v>48</c:v>
                </c:pt>
                <c:pt idx="3">
                  <c:v>53</c:v>
                </c:pt>
                <c:pt idx="4">
                  <c:v>26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F0-4009-A457-70E90B2092C1}"/>
            </c:ext>
          </c:extLst>
        </c:ser>
        <c:ser>
          <c:idx val="1"/>
          <c:order val="1"/>
          <c:tx>
            <c:strRef>
              <c:f>pivot!$C$140:$C$141</c:f>
              <c:strCache>
                <c:ptCount val="1"/>
                <c:pt idx="0">
                  <c:v>Queenstown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pivot!$A$142:$A$149</c:f>
              <c:strCache>
                <c:ptCount val="7"/>
                <c:pt idx="0">
                  <c:v>Less than £10</c:v>
                </c:pt>
                <c:pt idx="1">
                  <c:v>£10-£25</c:v>
                </c:pt>
                <c:pt idx="2">
                  <c:v>£26-£50</c:v>
                </c:pt>
                <c:pt idx="3">
                  <c:v>£51-£100</c:v>
                </c:pt>
                <c:pt idx="4">
                  <c:v>£101-£150</c:v>
                </c:pt>
                <c:pt idx="5">
                  <c:v>£151-£200</c:v>
                </c:pt>
                <c:pt idx="6">
                  <c:v>£200 or more</c:v>
                </c:pt>
              </c:strCache>
            </c:strRef>
          </c:cat>
          <c:val>
            <c:numRef>
              <c:f>pivot!$C$142:$C$149</c:f>
              <c:numCache>
                <c:formatCode>General</c:formatCode>
                <c:ptCount val="7"/>
                <c:pt idx="0">
                  <c:v>92</c:v>
                </c:pt>
                <c:pt idx="1">
                  <c:v>22</c:v>
                </c:pt>
                <c:pt idx="2">
                  <c:v>6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B8-4A30-8879-C1F6A7829245}"/>
            </c:ext>
          </c:extLst>
        </c:ser>
        <c:ser>
          <c:idx val="2"/>
          <c:order val="2"/>
          <c:tx>
            <c:strRef>
              <c:f>pivot!$D$140:$D$141</c:f>
              <c:strCache>
                <c:ptCount val="1"/>
                <c:pt idx="0">
                  <c:v>Southampton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pivot!$A$142:$A$149</c:f>
              <c:strCache>
                <c:ptCount val="7"/>
                <c:pt idx="0">
                  <c:v>Less than £10</c:v>
                </c:pt>
                <c:pt idx="1">
                  <c:v>£10-£25</c:v>
                </c:pt>
                <c:pt idx="2">
                  <c:v>£26-£50</c:v>
                </c:pt>
                <c:pt idx="3">
                  <c:v>£51-£100</c:v>
                </c:pt>
                <c:pt idx="4">
                  <c:v>£101-£150</c:v>
                </c:pt>
                <c:pt idx="5">
                  <c:v>£151-£200</c:v>
                </c:pt>
                <c:pt idx="6">
                  <c:v>£200 or more</c:v>
                </c:pt>
              </c:strCache>
            </c:strRef>
          </c:cat>
          <c:val>
            <c:numRef>
              <c:f>pivot!$D$142:$D$149</c:f>
              <c:numCache>
                <c:formatCode>General</c:formatCode>
                <c:ptCount val="7"/>
                <c:pt idx="0">
                  <c:v>341</c:v>
                </c:pt>
                <c:pt idx="1">
                  <c:v>259</c:v>
                </c:pt>
                <c:pt idx="2">
                  <c:v>184</c:v>
                </c:pt>
                <c:pt idx="3">
                  <c:v>96</c:v>
                </c:pt>
                <c:pt idx="4">
                  <c:v>7</c:v>
                </c:pt>
                <c:pt idx="5">
                  <c:v>13</c:v>
                </c:pt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B8-4A30-8879-C1F6A78292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3"/>
        <c:axId val="26717856"/>
        <c:axId val="26724928"/>
      </c:barChart>
      <c:catAx>
        <c:axId val="26717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6724928"/>
        <c:crosses val="autoZero"/>
        <c:auto val="1"/>
        <c:lblAlgn val="ctr"/>
        <c:lblOffset val="100"/>
        <c:noMultiLvlLbl val="0"/>
      </c:catAx>
      <c:valAx>
        <c:axId val="26724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671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57466009496904491"/>
          <c:y val="0.20479322209076195"/>
          <c:w val="0.39564023962653516"/>
          <c:h val="0.17323106632396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[titanic projekt.xlsm]pivot!port percent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Port of Embarkation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1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0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6844945329701081"/>
          <c:y val="0.30628894851830674"/>
          <c:w val="0.46768668134492669"/>
          <c:h val="0.55129547354066777"/>
        </c:manualLayout>
      </c:layout>
      <c:pieChart>
        <c:varyColors val="1"/>
        <c:ser>
          <c:idx val="0"/>
          <c:order val="0"/>
          <c:tx>
            <c:strRef>
              <c:f>pivot!$B$156</c:f>
              <c:strCache>
                <c:ptCount val="1"/>
                <c:pt idx="0">
                  <c:v>Liczba z Name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9F-4261-9671-B7E09BD67A82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9F-4261-9671-B7E09BD67A82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9F-4261-9671-B7E09BD67A82}"/>
              </c:ext>
            </c:extLst>
          </c:dPt>
          <c:cat>
            <c:strRef>
              <c:f>pivot!$A$157:$A$160</c:f>
              <c:strCache>
                <c:ptCount val="3"/>
                <c:pt idx="0">
                  <c:v>Southampton</c:v>
                </c:pt>
                <c:pt idx="1">
                  <c:v>Cherbourg</c:v>
                </c:pt>
                <c:pt idx="2">
                  <c:v>Queenstown</c:v>
                </c:pt>
              </c:strCache>
            </c:strRef>
          </c:cat>
          <c:val>
            <c:numRef>
              <c:f>pivot!$B$157:$B$160</c:f>
              <c:numCache>
                <c:formatCode>General</c:formatCode>
                <c:ptCount val="3"/>
                <c:pt idx="0">
                  <c:v>914</c:v>
                </c:pt>
                <c:pt idx="1">
                  <c:v>270</c:v>
                </c:pt>
                <c:pt idx="2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9F-4261-9671-B7E09BD67A82}"/>
            </c:ext>
          </c:extLst>
        </c:ser>
        <c:ser>
          <c:idx val="1"/>
          <c:order val="1"/>
          <c:tx>
            <c:strRef>
              <c:f>pivot!$C$156</c:f>
              <c:strCache>
                <c:ptCount val="1"/>
                <c:pt idx="0">
                  <c:v>Liczba z Port of Embarkation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9F-4261-9671-B7E09BD67A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9F-4261-9671-B7E09BD67A8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499F-4261-9671-B7E09BD67A82}"/>
              </c:ext>
            </c:extLst>
          </c:dPt>
          <c:cat>
            <c:strRef>
              <c:f>pivot!$A$157:$A$160</c:f>
              <c:strCache>
                <c:ptCount val="3"/>
                <c:pt idx="0">
                  <c:v>Southampton</c:v>
                </c:pt>
                <c:pt idx="1">
                  <c:v>Cherbourg</c:v>
                </c:pt>
                <c:pt idx="2">
                  <c:v>Queenstown</c:v>
                </c:pt>
              </c:strCache>
            </c:strRef>
          </c:cat>
          <c:val>
            <c:numRef>
              <c:f>pivot!$C$157:$C$160</c:f>
              <c:numCache>
                <c:formatCode>0.00%</c:formatCode>
                <c:ptCount val="3"/>
                <c:pt idx="0">
                  <c:v>0.69931140015302218</c:v>
                </c:pt>
                <c:pt idx="1">
                  <c:v>0.20657995409334354</c:v>
                </c:pt>
                <c:pt idx="2">
                  <c:v>9.4108645753634271E-2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9F-4261-9671-B7E09BD67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</xdr:row>
      <xdr:rowOff>0</xdr:rowOff>
    </xdr:from>
    <xdr:to>
      <xdr:col>4</xdr:col>
      <xdr:colOff>0</xdr:colOff>
      <xdr:row>15</xdr:row>
      <xdr:rowOff>0</xdr:rowOff>
    </xdr:to>
    <xdr:graphicFrame macro="">
      <xdr:nvGraphicFramePr>
        <xdr:cNvPr id="2" name="Wykres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28575</xdr:rowOff>
    </xdr:from>
    <xdr:to>
      <xdr:col>4</xdr:col>
      <xdr:colOff>0</xdr:colOff>
      <xdr:row>32</xdr:row>
      <xdr:rowOff>28576</xdr:rowOff>
    </xdr:to>
    <xdr:graphicFrame macro="">
      <xdr:nvGraphicFramePr>
        <xdr:cNvPr id="3" name="Wykres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</xdr:row>
      <xdr:rowOff>1</xdr:rowOff>
    </xdr:from>
    <xdr:to>
      <xdr:col>15</xdr:col>
      <xdr:colOff>0</xdr:colOff>
      <xdr:row>26</xdr:row>
      <xdr:rowOff>0</xdr:rowOff>
    </xdr:to>
    <xdr:graphicFrame macro="">
      <xdr:nvGraphicFramePr>
        <xdr:cNvPr id="8" name="Wykres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2</xdr:row>
      <xdr:rowOff>38099</xdr:rowOff>
    </xdr:from>
    <xdr:to>
      <xdr:col>26</xdr:col>
      <xdr:colOff>0</xdr:colOff>
      <xdr:row>25</xdr:row>
      <xdr:rowOff>190499</xdr:rowOff>
    </xdr:to>
    <xdr:graphicFrame macro="">
      <xdr:nvGraphicFramePr>
        <xdr:cNvPr id="9" name="Wykres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9526</xdr:colOff>
      <xdr:row>2</xdr:row>
      <xdr:rowOff>38099</xdr:rowOff>
    </xdr:from>
    <xdr:to>
      <xdr:col>4</xdr:col>
      <xdr:colOff>0</xdr:colOff>
      <xdr:row>5</xdr:row>
      <xdr:rowOff>85724</xdr:rowOff>
    </xdr:to>
    <xdr:sp macro="" textlink="pivot!L5">
      <xdr:nvSpPr>
        <xdr:cNvPr id="4" name="Prostokąt 3"/>
        <xdr:cNvSpPr/>
      </xdr:nvSpPr>
      <xdr:spPr>
        <a:xfrm>
          <a:off x="9526" y="857249"/>
          <a:ext cx="2000249" cy="4667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4EE960-4C27-48A8-B534-F026BD45A99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Overall summary
Number of passengers: 1309</a:t>
          </a:fld>
          <a:endParaRPr lang="pl-PL" sz="1100"/>
        </a:p>
      </xdr:txBody>
    </xdr:sp>
    <xdr:clientData/>
  </xdr:twoCellAnchor>
  <xdr:twoCellAnchor editAs="oneCell">
    <xdr:from>
      <xdr:col>5</xdr:col>
      <xdr:colOff>0</xdr:colOff>
      <xdr:row>5</xdr:row>
      <xdr:rowOff>85725</xdr:rowOff>
    </xdr:from>
    <xdr:to>
      <xdr:col>10</xdr:col>
      <xdr:colOff>0</xdr:colOff>
      <xdr:row>8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Passenger Class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ssenger Clas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7875" y="1323975"/>
              <a:ext cx="3105150" cy="419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>
    <xdr:from>
      <xdr:col>10</xdr:col>
      <xdr:colOff>1</xdr:colOff>
      <xdr:row>26</xdr:row>
      <xdr:rowOff>0</xdr:rowOff>
    </xdr:from>
    <xdr:to>
      <xdr:col>18</xdr:col>
      <xdr:colOff>1</xdr:colOff>
      <xdr:row>44</xdr:row>
      <xdr:rowOff>1</xdr:rowOff>
    </xdr:to>
    <xdr:graphicFrame macro="">
      <xdr:nvGraphicFramePr>
        <xdr:cNvPr id="11" name="Wykres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20</xdr:col>
      <xdr:colOff>0</xdr:colOff>
      <xdr:row>26</xdr:row>
      <xdr:rowOff>0</xdr:rowOff>
    </xdr:to>
    <xdr:graphicFrame macro="">
      <xdr:nvGraphicFramePr>
        <xdr:cNvPr id="12" name="Wykres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0</xdr:colOff>
      <xdr:row>3</xdr:row>
      <xdr:rowOff>1</xdr:rowOff>
    </xdr:from>
    <xdr:to>
      <xdr:col>10</xdr:col>
      <xdr:colOff>0</xdr:colOff>
      <xdr:row>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Survived?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rvived?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7875" y="857251"/>
              <a:ext cx="3105150" cy="504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0</xdr:colOff>
      <xdr:row>14</xdr:row>
      <xdr:rowOff>114300</xdr:rowOff>
    </xdr:from>
    <xdr:to>
      <xdr:col>4</xdr:col>
      <xdr:colOff>0</xdr:colOff>
      <xdr:row>23</xdr:row>
      <xdr:rowOff>114300</xdr:rowOff>
    </xdr:to>
    <xdr:graphicFrame macro="">
      <xdr:nvGraphicFramePr>
        <xdr:cNvPr id="14" name="Wykres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466725</xdr:colOff>
      <xdr:row>18</xdr:row>
      <xdr:rowOff>38100</xdr:rowOff>
    </xdr:from>
    <xdr:to>
      <xdr:col>4</xdr:col>
      <xdr:colOff>0</xdr:colOff>
      <xdr:row>22</xdr:row>
      <xdr:rowOff>0</xdr:rowOff>
    </xdr:to>
    <xdr:sp macro="" textlink="pivot!A63">
      <xdr:nvSpPr>
        <xdr:cNvPr id="5" name="pole tekstowe 4"/>
        <xdr:cNvSpPr txBox="1"/>
      </xdr:nvSpPr>
      <xdr:spPr>
        <a:xfrm>
          <a:off x="1076325" y="3686175"/>
          <a:ext cx="933450" cy="723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E95389D5-51F0-4005-B7BA-6E01B8EE6626}" type="TxLink">
            <a:rPr lang="en-US" sz="1100" b="0" i="0" u="none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cs typeface="Calibri"/>
            </a:rPr>
            <a:pPr algn="r"/>
            <a:t>Male
843
64,40%</a:t>
          </a:fld>
          <a:endParaRPr lang="pl-PL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200025</xdr:colOff>
      <xdr:row>18</xdr:row>
      <xdr:rowOff>133350</xdr:rowOff>
    </xdr:to>
    <xdr:sp macro="" textlink="pivot!A64">
      <xdr:nvSpPr>
        <xdr:cNvPr id="6" name="pole tekstowe 5"/>
        <xdr:cNvSpPr txBox="1"/>
      </xdr:nvSpPr>
      <xdr:spPr>
        <a:xfrm>
          <a:off x="0" y="3105150"/>
          <a:ext cx="809625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136650D-B295-4A49-96F8-764DC8D4FB34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l"/>
            <a:t>Female
466
35,60%</a:t>
          </a:fld>
          <a:endParaRPr lang="pl-PL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</xdr:col>
      <xdr:colOff>361951</xdr:colOff>
      <xdr:row>31</xdr:row>
      <xdr:rowOff>161925</xdr:rowOff>
    </xdr:from>
    <xdr:to>
      <xdr:col>16</xdr:col>
      <xdr:colOff>361950</xdr:colOff>
      <xdr:row>33</xdr:row>
      <xdr:rowOff>38100</xdr:rowOff>
    </xdr:to>
    <xdr:sp macro="" textlink="pivot!$A$107">
      <xdr:nvSpPr>
        <xdr:cNvPr id="18" name="pole tekstowe 17"/>
        <xdr:cNvSpPr txBox="1"/>
      </xdr:nvSpPr>
      <xdr:spPr>
        <a:xfrm>
          <a:off x="7953376" y="6286500"/>
          <a:ext cx="1219199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3D3C8548-359F-4A52-BCCE-5D946EF90D89}" type="TxLink"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Calibri"/>
              <a:cs typeface="Calibri"/>
            </a:rPr>
            <a:pPr algn="r"/>
            <a:t>£43 550,49</a:t>
          </a:fld>
          <a:endParaRPr lang="pl-PL" sz="1100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15</xdr:col>
      <xdr:colOff>400050</xdr:colOff>
      <xdr:row>30</xdr:row>
      <xdr:rowOff>85725</xdr:rowOff>
    </xdr:from>
    <xdr:to>
      <xdr:col>16</xdr:col>
      <xdr:colOff>361950</xdr:colOff>
      <xdr:row>32</xdr:row>
      <xdr:rowOff>38100</xdr:rowOff>
    </xdr:to>
    <xdr:sp macro="" textlink="">
      <xdr:nvSpPr>
        <xdr:cNvPr id="7" name="pole tekstowe 6"/>
        <xdr:cNvSpPr txBox="1"/>
      </xdr:nvSpPr>
      <xdr:spPr>
        <a:xfrm>
          <a:off x="8601075" y="6019800"/>
          <a:ext cx="571500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r>
            <a:rPr lang="pl-PL" sz="1100">
              <a:solidFill>
                <a:schemeClr val="bg2">
                  <a:lumMod val="25000"/>
                </a:schemeClr>
              </a:solidFill>
            </a:rPr>
            <a:t>Total:</a:t>
          </a:r>
        </a:p>
      </xdr:txBody>
    </xdr:sp>
    <xdr:clientData/>
  </xdr:twoCellAnchor>
  <xdr:twoCellAnchor>
    <xdr:from>
      <xdr:col>18</xdr:col>
      <xdr:colOff>0</xdr:colOff>
      <xdr:row>26</xdr:row>
      <xdr:rowOff>1</xdr:rowOff>
    </xdr:from>
    <xdr:to>
      <xdr:col>26</xdr:col>
      <xdr:colOff>0</xdr:colOff>
      <xdr:row>44</xdr:row>
      <xdr:rowOff>1</xdr:rowOff>
    </xdr:to>
    <xdr:graphicFrame macro="">
      <xdr:nvGraphicFramePr>
        <xdr:cNvPr id="16" name="Wykres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39</xdr:row>
      <xdr:rowOff>85725</xdr:rowOff>
    </xdr:from>
    <xdr:to>
      <xdr:col>9</xdr:col>
      <xdr:colOff>190500</xdr:colOff>
      <xdr:row>43</xdr:row>
      <xdr:rowOff>0</xdr:rowOff>
    </xdr:to>
    <xdr:sp macro="" textlink="pivot!L8">
      <xdr:nvSpPr>
        <xdr:cNvPr id="15" name="pole tekstowe 14"/>
        <xdr:cNvSpPr txBox="1"/>
      </xdr:nvSpPr>
      <xdr:spPr>
        <a:xfrm>
          <a:off x="2657475" y="7734300"/>
          <a:ext cx="2076450" cy="676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74397F43-08C7-417E-BFC9-D6953D09C55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Note: Unknown values were omitted from the graphs for clarification.</a:t>
          </a:fld>
          <a:endParaRPr lang="pl-PL" sz="1100"/>
        </a:p>
      </xdr:txBody>
    </xdr:sp>
    <xdr:clientData/>
  </xdr:twoCellAnchor>
  <xdr:twoCellAnchor>
    <xdr:from>
      <xdr:col>5</xdr:col>
      <xdr:colOff>0</xdr:colOff>
      <xdr:row>11</xdr:row>
      <xdr:rowOff>171450</xdr:rowOff>
    </xdr:from>
    <xdr:to>
      <xdr:col>10</xdr:col>
      <xdr:colOff>0</xdr:colOff>
      <xdr:row>36</xdr:row>
      <xdr:rowOff>171450</xdr:rowOff>
    </xdr:to>
    <xdr:graphicFrame macro="">
      <xdr:nvGraphicFramePr>
        <xdr:cNvPr id="19" name="Wykres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4</xdr:col>
      <xdr:colOff>0</xdr:colOff>
      <xdr:row>44</xdr:row>
      <xdr:rowOff>0</xdr:rowOff>
    </xdr:to>
    <xdr:graphicFrame macro="">
      <xdr:nvGraphicFramePr>
        <xdr:cNvPr id="20" name="Wykres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400050</xdr:colOff>
      <xdr:row>40</xdr:row>
      <xdr:rowOff>152400</xdr:rowOff>
    </xdr:from>
    <xdr:to>
      <xdr:col>4</xdr:col>
      <xdr:colOff>9525</xdr:colOff>
      <xdr:row>44</xdr:row>
      <xdr:rowOff>19050</xdr:rowOff>
    </xdr:to>
    <xdr:sp macro="" textlink="pivot!A151">
      <xdr:nvSpPr>
        <xdr:cNvPr id="21" name="pole tekstowe 20"/>
        <xdr:cNvSpPr txBox="1"/>
      </xdr:nvSpPr>
      <xdr:spPr>
        <a:xfrm>
          <a:off x="1009650" y="7991475"/>
          <a:ext cx="1009650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AD421ED4-140E-4C20-9363-F59C0CF218BB}" type="TxLink">
            <a:rPr lang="en-US" sz="1100" b="0" i="0" u="none" strike="noStrike">
              <a:solidFill>
                <a:schemeClr val="tx1"/>
              </a:solidFill>
              <a:latin typeface="Calibri"/>
              <a:cs typeface="Calibri"/>
            </a:rPr>
            <a:pPr algn="r"/>
            <a:t>Southampton
914
69,93%</a:t>
          </a:fld>
          <a:endParaRPr lang="pl-PL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19051</xdr:rowOff>
    </xdr:from>
    <xdr:to>
      <xdr:col>1</xdr:col>
      <xdr:colOff>304800</xdr:colOff>
      <xdr:row>39</xdr:row>
      <xdr:rowOff>66675</xdr:rowOff>
    </xdr:to>
    <xdr:sp macro="" textlink="pivot!A152">
      <xdr:nvSpPr>
        <xdr:cNvPr id="22" name="pole tekstowe 21"/>
        <xdr:cNvSpPr txBox="1"/>
      </xdr:nvSpPr>
      <xdr:spPr>
        <a:xfrm>
          <a:off x="0" y="7096126"/>
          <a:ext cx="914400" cy="619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82875E9-4716-4B86-A305-4E6AD143CA18}" type="TxLink"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l"/>
            <a:t>Cherbourg
270
20,66%</a:t>
          </a:fld>
          <a:endParaRPr lang="pl-PL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504825</xdr:colOff>
      <xdr:row>33</xdr:row>
      <xdr:rowOff>104775</xdr:rowOff>
    </xdr:from>
    <xdr:to>
      <xdr:col>2</xdr:col>
      <xdr:colOff>238125</xdr:colOff>
      <xdr:row>36</xdr:row>
      <xdr:rowOff>161925</xdr:rowOff>
    </xdr:to>
    <xdr:sp macro="" textlink="pivot!A153">
      <xdr:nvSpPr>
        <xdr:cNvPr id="23" name="pole tekstowe 22"/>
        <xdr:cNvSpPr txBox="1"/>
      </xdr:nvSpPr>
      <xdr:spPr>
        <a:xfrm>
          <a:off x="504825" y="6610350"/>
          <a:ext cx="952500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F4B1FB3-EEB3-4A54-951B-32C9994CC428}" type="TxLink">
            <a:rPr lang="en-US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ctr"/>
            <a:t>Queenstown
123
9,41%</a:t>
          </a:fld>
          <a:endParaRPr lang="pl-PL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76200</xdr:colOff>
      <xdr:row>8</xdr:row>
      <xdr:rowOff>152400</xdr:rowOff>
    </xdr:from>
    <xdr:to>
      <xdr:col>9</xdr:col>
      <xdr:colOff>514349</xdr:colOff>
      <xdr:row>10</xdr:row>
      <xdr:rowOff>19050</xdr:rowOff>
    </xdr:to>
    <xdr:sp macro="[0]!ClearSlicers" textlink="">
      <xdr:nvSpPr>
        <xdr:cNvPr id="17" name="Prostokąt zaokrąglony 16"/>
        <xdr:cNvSpPr/>
      </xdr:nvSpPr>
      <xdr:spPr>
        <a:xfrm>
          <a:off x="2124075" y="1895475"/>
          <a:ext cx="2933699" cy="24765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Clear all filters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0.57422</cdr:x>
      <cdr:y>0.63333</cdr:y>
    </cdr:from>
    <cdr:to>
      <cdr:x>1</cdr:x>
      <cdr:y>1</cdr:y>
    </cdr:to>
    <cdr:sp macro="" textlink="pivot!$A$38">
      <cdr:nvSpPr>
        <cdr:cNvPr id="2" name="pole tekstowe 1"/>
        <cdr:cNvSpPr txBox="1"/>
      </cdr:nvSpPr>
      <cdr:spPr>
        <a:xfrm xmlns:a="http://schemas.openxmlformats.org/drawingml/2006/main">
          <a:off x="1154053" y="1085844"/>
          <a:ext cx="855721" cy="6286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none" rtlCol="0" anchor="b"/>
        <a:lstStyle xmlns:a="http://schemas.openxmlformats.org/drawingml/2006/main"/>
        <a:p xmlns:a="http://schemas.openxmlformats.org/drawingml/2006/main">
          <a:pPr algn="r"/>
          <a:fld id="{1A01EDB8-96D9-4E73-8D8E-CB47E47F44B1}" type="TxLink">
            <a:rPr lang="en-US" sz="1100" b="0" i="0" u="none" strike="noStrike">
              <a:solidFill>
                <a:schemeClr val="tx1"/>
              </a:solidFill>
              <a:latin typeface="Calibri"/>
              <a:cs typeface="Calibri"/>
            </a:rPr>
            <a:pPr algn="r"/>
            <a:t>Died
809
61,80%</a:t>
          </a:fld>
          <a:endParaRPr lang="pl-PL" sz="11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0.3379</cdr:x>
      <cdr:y>0.49444</cdr:y>
    </cdr:to>
    <cdr:sp macro="" textlink="pivot!$A$39">
      <cdr:nvSpPr>
        <cdr:cNvPr id="3" name="pole tekstowe 2"/>
        <cdr:cNvSpPr txBox="1"/>
      </cdr:nvSpPr>
      <cdr:spPr>
        <a:xfrm xmlns:a="http://schemas.openxmlformats.org/drawingml/2006/main">
          <a:off x="0" y="0"/>
          <a:ext cx="704849" cy="8477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fld id="{2044A3FF-5FEB-48EC-B1A9-BCA8DD217B94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Survived
500
38,20%</a:t>
          </a:fld>
          <a:endParaRPr lang="pl-PL" sz="1100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0.61328</cdr:x>
      <cdr:y>0.27</cdr:y>
    </cdr:from>
    <cdr:to>
      <cdr:x>1</cdr:x>
      <cdr:y>0.62222</cdr:y>
    </cdr:to>
    <cdr:sp macro="" textlink="pivot!$A$50">
      <cdr:nvSpPr>
        <cdr:cNvPr id="2" name="pole tekstowe 1"/>
        <cdr:cNvSpPr txBox="1"/>
      </cdr:nvSpPr>
      <cdr:spPr>
        <a:xfrm xmlns:a="http://schemas.openxmlformats.org/drawingml/2006/main">
          <a:off x="1232557" y="462915"/>
          <a:ext cx="777218" cy="6038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fld id="{28B2E324-A02F-46C5-8108-1FB53914BD9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3rd class
709
54,16%</a:t>
          </a:fld>
          <a:endParaRPr lang="pl-PL" sz="11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</cdr:x>
      <cdr:y>0.58889</cdr:y>
    </cdr:from>
    <cdr:to>
      <cdr:x>0.35071</cdr:x>
      <cdr:y>1</cdr:y>
    </cdr:to>
    <cdr:sp macro="" textlink="pivot!$A$51">
      <cdr:nvSpPr>
        <cdr:cNvPr id="3" name="pole tekstowe 2"/>
        <cdr:cNvSpPr txBox="1"/>
      </cdr:nvSpPr>
      <cdr:spPr>
        <a:xfrm xmlns:a="http://schemas.openxmlformats.org/drawingml/2006/main">
          <a:off x="0" y="1009652"/>
          <a:ext cx="704850" cy="7048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b"/>
        <a:lstStyle xmlns:a="http://schemas.openxmlformats.org/drawingml/2006/main"/>
        <a:p xmlns:a="http://schemas.openxmlformats.org/drawingml/2006/main">
          <a:pPr algn="l"/>
          <a:fld id="{FC9E521C-D848-4F48-BD24-5EDAA84C62E9}" type="TxLink">
            <a:rPr lang="en-US" sz="1100" b="0" i="0" u="none" strike="noStrike">
              <a:solidFill>
                <a:schemeClr val="accent4">
                  <a:lumMod val="50000"/>
                </a:schemeClr>
              </a:solidFill>
              <a:latin typeface="Calibri"/>
              <a:cs typeface="Calibri"/>
            </a:rPr>
            <a:pPr algn="l"/>
            <a:t>2nd class
277
21,16%</a:t>
          </a:fld>
          <a:endParaRPr lang="pl-PL" sz="1100">
            <a:solidFill>
              <a:schemeClr val="accent4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0.36719</cdr:x>
      <cdr:y>0.36667</cdr:y>
    </cdr:to>
    <cdr:sp macro="" textlink="pivot!$A$52">
      <cdr:nvSpPr>
        <cdr:cNvPr id="4" name="pole tekstowe 3"/>
        <cdr:cNvSpPr txBox="1"/>
      </cdr:nvSpPr>
      <cdr:spPr>
        <a:xfrm xmlns:a="http://schemas.openxmlformats.org/drawingml/2006/main">
          <a:off x="0" y="0"/>
          <a:ext cx="895350" cy="628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fld id="{657A4899-477D-43A2-935D-EFA5250101D1}" type="TxLink">
            <a:rPr lang="en-US" sz="1100" b="0" i="0" u="none" strike="noStrike">
              <a:solidFill>
                <a:schemeClr val="bg2">
                  <a:lumMod val="10000"/>
                </a:schemeClr>
              </a:solidFill>
              <a:latin typeface="Calibri"/>
              <a:cs typeface="Calibri"/>
            </a:rPr>
            <a:pPr algn="l"/>
            <a:t>1st class
323
24,68%</a:t>
          </a:fld>
          <a:endParaRPr lang="pl-PL" sz="1100">
            <a:solidFill>
              <a:schemeClr val="bg2">
                <a:lumMod val="1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ciek" refreshedDate="44958.728142939814" missingItemsLimit="1048576" createdVersion="6" refreshedVersion="6" minRefreshableVersion="3" recordCount="1309">
  <cacheSource type="worksheet">
    <worksheetSource name="Tabela1"/>
  </cacheSource>
  <cacheFields count="12">
    <cacheField name="Passenger Class" numFmtId="0">
      <sharedItems count="6">
        <s v="1st class"/>
        <s v="2nd class"/>
        <s v="3rd class"/>
        <s v="3rd" u="1"/>
        <s v="1st" u="1"/>
        <s v="2nd" u="1"/>
      </sharedItems>
    </cacheField>
    <cacheField name="Survived?" numFmtId="0">
      <sharedItems count="4">
        <s v="Survived"/>
        <s v="Died"/>
        <s v="No" u="1"/>
        <s v="Yes" u="1"/>
      </sharedItems>
    </cacheField>
    <cacheField name="Name" numFmtId="0">
      <sharedItems count="1307">
        <s v="Allen, Miss. Elisabeth Walton"/>
        <s v="Allison, Master. Hudson Trevor"/>
        <s v="Allison, Miss. Helen Loraine"/>
        <s v="Allison, Mr. Hudson Joshua Creighton"/>
        <s v="Allison, Mrs. Hudson J C (Bessie Waldo Daniels)"/>
        <s v="Anderson, Mr. Harry"/>
        <s v="Andrews, Miss. Kornelia Theodosia"/>
        <s v="Andrews, Mr. Thomas Jr"/>
        <s v="Appleton, Mrs. Edward Dale (Charlotte Lamson)"/>
        <s v="Artagaveytia, Mr. Ramon"/>
        <s v="Astor, Col. John Jacob"/>
        <s v="Astor, Mrs. John Jacob (Madeleine Talmadge Force)"/>
        <s v="Aubart, Mme. Leontine Pauline"/>
        <s v="Barber, Miss. Ellen &quot;Nellie&quot;"/>
        <s v="Barkworth, Mr. Algernon Henry Wilson"/>
        <s v="Baumann, Mr. John D"/>
        <s v="Baxter, Mr. Quigg Edmond"/>
        <s v="Baxter, Mrs. James (Helene DeLaudeniere Chaput)"/>
        <s v="Bazzani, Miss. Albina"/>
        <s v="Beattie, Mr. Thomson"/>
        <s v="Beckwith, Mr. Richard Leonard"/>
        <s v="Beckwith, Mrs. Richard Leonard (Sallie Monypeny)"/>
        <s v="Behr, Mr. Karl Howell"/>
        <s v="Bidois, Miss. Rosalie"/>
        <s v="Bird, Miss. Ellen"/>
        <s v="Birnbaum, Mr. Jakob"/>
        <s v="Bishop, Mr. Dickinson H"/>
        <s v="Bishop, Mrs. Dickinson H (Helen Walton)"/>
        <s v="Bissette, Miss. Amelia"/>
        <s v="Bjornstrom-Steffansson, Mr. Mauritz Hakan"/>
        <s v="Blackwell, Mr. Stephen Weart"/>
        <s v="Blank, Mr. Henry"/>
        <s v="Bonnell, Miss. Caroline"/>
        <s v="Bonnell, Miss. Elizabeth"/>
        <s v="Borebank, Mr. John James"/>
        <s v="Bowen, Miss. Grace Scott"/>
        <s v="Bowerman, Miss. Elsie Edith"/>
        <s v="Bradley, Mr. George (&quot;George Arthur Brayton&quot;)"/>
        <s v="Brady, Mr. John Bertram"/>
        <s v="Brandeis, Mr. Emil"/>
        <s v="Brewe, Dr. Arthur Jackson"/>
        <s v="Brown, Mrs. James Joseph (Margaret Tobin)"/>
        <s v="Brown, Mrs. John Murray (Caroline Lane Lamson)"/>
        <s v="Bucknell, Mrs. William Robert (Emma Eliza Ward)"/>
        <s v="Burns, Miss. Elizabeth Margaret"/>
        <s v="Butt, Major. Archibald Willingham"/>
        <s v="Cairns, Mr. Alexander"/>
        <s v="Calderhead, Mr. Edward Pennington"/>
        <s v="Candee, Mrs. Edward (Helen Churchill Hungerford)"/>
        <s v="Cardeza, Mr. Thomas Drake Martinez"/>
        <s v="Cardeza, Mrs. James Warburton Martinez (Charlotte Wardle Drake)"/>
        <s v="Carlsson, Mr. Frans Olof"/>
        <s v="Carrau, Mr. Francisco M"/>
        <s v="Carrau, Mr. Jose Pedro"/>
        <s v="Carter, Master. William Thornton II"/>
        <s v="Carter, Miss. Lucile Polk"/>
        <s v="Carter, Mr. William Ernest"/>
        <s v="Carter, Mrs. William Ernest (Lucile Polk)"/>
        <s v="Case, Mr. Howard Brown"/>
        <s v="Cassebeer, Mrs. Henry Arthur Jr (Eleanor Genevieve Fosdick)"/>
        <s v="Cavendish, Mr. Tyrell William"/>
        <s v="Cavendish, Mrs. Tyrell William (Julia Florence Siegel)"/>
        <s v="Chaffee, Mr. Herbert Fuller"/>
        <s v="Chaffee, Mrs. Herbert Fuller (Carrie Constance Toogood)"/>
        <s v="Chambers, Mr. Norman Campbell"/>
        <s v="Chambers, Mrs. Norman Campbell (Bertha Griggs)"/>
        <s v="Chaudanson, Miss. Victorine"/>
        <s v="Cherry, Miss. Gladys"/>
        <s v="Chevre, Mr. Paul Romaine"/>
        <s v="Chibnall, Mrs. (Edith Martha Bowerman)"/>
        <s v="Chisholm, Mr. Roderick Robert Crispin"/>
        <s v="Clark, Mr. Walter Miller"/>
        <s v="Clark, Mrs. Walter Miller (Virginia McDowell)"/>
        <s v="Cleaver, Miss. Alice"/>
        <s v="Clifford, Mr. George Quincy"/>
        <s v="Colley, Mr. Edward Pomeroy"/>
        <s v="Compton, Miss. Sara Rebecca"/>
        <s v="Compton, Mr. Alexander Taylor Jr"/>
        <s v="Compton, Mrs. Alexander Taylor (Mary Eliza Ingersoll)"/>
        <s v="Cornell, Mrs. Robert Clifford (Malvina Helen Lamson)"/>
        <s v="Crafton, Mr. John Bertram"/>
        <s v="Crosby, Capt. Edward Gifford"/>
        <s v="Crosby, Miss. Harriet R"/>
        <s v="Crosby, Mrs. Edward Gifford (Catherine Elizabeth Halstead)"/>
        <s v="Cumings, Mr. John Bradley"/>
        <s v="Cumings, Mrs. John Bradley (Florence Briggs Thayer)"/>
        <s v="Daly, Mr. Peter Denis "/>
        <s v="Daniel, Mr. Robert Williams"/>
        <s v="Daniels, Miss. Sarah"/>
        <s v="Davidson, Mr. Thornton"/>
        <s v="Davidson, Mrs. Thornton (Orian Hays)"/>
        <s v="Dick, Mr. Albert Adrian"/>
        <s v="Dick, Mrs. Albert Adrian (Vera Gillespie)"/>
        <s v="Dodge, Dr. Washington"/>
        <s v="Dodge, Master. Washington"/>
        <s v="Dodge, Mrs. Washington (Ruth Vidaver)"/>
        <s v="Douglas, Mr. Walter Donald"/>
        <s v="Douglas, Mrs. Frederick Charles (Mary Helene Baxter)"/>
        <s v="Douglas, Mrs. Walter Donald (Mahala Dutton)"/>
        <s v="Duff Gordon, Lady. (Lucille Christiana Sutherland) (&quot;Mrs Morgan&quot;)"/>
        <s v="Duff Gordon, Sir. Cosmo Edmund (&quot;Mr Morgan&quot;)"/>
        <s v="Dulles, Mr. William Crothers"/>
        <s v="Earnshaw, Mrs. Boulton (Olive Potter)"/>
        <s v="Endres, Miss. Caroline Louise"/>
        <s v="Eustis, Miss. Elizabeth Mussey"/>
        <s v="Evans, Miss. Edith Corse"/>
        <s v="Farthing, Mr. John"/>
        <s v="Flegenheim, Mrs. Alfred (Antoinette)"/>
        <s v="Fleming, Miss. Margaret"/>
        <s v="Flynn, Mr. John Irwin (&quot;Irving&quot;)"/>
        <s v="Foreman, Mr. Benjamin Laventall"/>
        <s v="Fortune, Miss. Alice Elizabeth"/>
        <s v="Fortune, Miss. Ethel Flora"/>
        <s v="Fortune, Miss. Mabel Helen"/>
        <s v="Fortune, Mr. Charles Alexander"/>
        <s v="Fortune, Mr. Mark"/>
        <s v="Fortune, Mrs. Mark (Mary McDougald)"/>
        <s v="Francatelli, Miss. Laura Mabel"/>
        <s v="Franklin, Mr. Thomas Parham"/>
        <s v="Frauenthal, Dr. Henry William"/>
        <s v="Frauenthal, Mr. Isaac Gerald"/>
        <s v="Frauenthal, Mrs. Henry William (Clara Heinsheimer)"/>
        <s v="Frolicher, Miss. Hedwig Margaritha"/>
        <s v="Frolicher-Stehli, Mr. Maxmillian"/>
        <s v="Frolicher-Stehli, Mrs. Maxmillian (Margaretha Emerentia Stehli)"/>
        <s v="Fry, Mr. Richard"/>
        <s v="Futrelle, Mr. Jacques Heath"/>
        <s v="Futrelle, Mrs. Jacques Heath (Lily May Peel)"/>
        <s v="Gee, Mr. Arthur H"/>
        <s v="Geiger, Miss. Amalie"/>
        <s v="Gibson, Miss. Dorothy Winifred"/>
        <s v="Gibson, Mrs. Leonard (Pauline C Boeson)"/>
        <s v="Giglio, Mr. Victor"/>
        <s v="Goldenberg, Mr. Samuel L"/>
        <s v="Goldenberg, Mrs. Samuel L (Edwiga Grabowska)"/>
        <s v="Goldschmidt, Mr. George B"/>
        <s v="Gracie, Col. Archibald IV"/>
        <s v="Graham, Miss. Margaret Edith"/>
        <s v="Graham, Mr. George Edward"/>
        <s v="Graham, Mrs. William Thompson (Edith Junkins)"/>
        <s v="Greenfield, Mr. William Bertram"/>
        <s v="Greenfield, Mrs. Leo David (Blanche Strouse)"/>
        <s v="Guggenheim, Mr. Benjamin"/>
        <s v="Harder, Mr. George Achilles"/>
        <s v="Harder, Mrs. George Achilles (Dorothy Annan)"/>
        <s v="Harper, Mr. Henry Sleeper"/>
        <s v="Harper, Mrs. Henry Sleeper (Myna Haxtun)"/>
        <s v="Harrington, Mr. Charles H"/>
        <s v="Harris, Mr. Henry Birkhardt"/>
        <s v="Harris, Mrs. Henry Birkhardt (Irene Wallach)"/>
        <s v="Harrison, Mr. William"/>
        <s v="Hassab, Mr. Hammad"/>
        <s v="Hawksford, Mr. Walter James"/>
        <s v="Hays, Miss. Margaret Bechstein"/>
        <s v="Hays, Mr. Charles Melville"/>
        <s v="Hays, Mrs. Charles Melville (Clara Jennings Gregg)"/>
        <s v="Head, Mr. Christopher"/>
        <s v="Hilliard, Mr. Herbert Henry"/>
        <s v="Hipkins, Mr. William Edward"/>
        <s v="Hippach, Miss. Jean Gertrude"/>
        <s v="Hippach, Mrs. Louis Albert (Ida Sophia Fischer)"/>
        <s v="Hogeboom, Mrs. John C (Anna Andrews)"/>
        <s v="Holverson, Mr. Alexander Oskar"/>
        <s v="Holverson, Mrs. Alexander Oskar (Mary Aline Towner)"/>
        <s v="Homer, Mr. Harry (&quot;Mr E Haven&quot;)"/>
        <s v="Hoyt, Mr. Frederick Maxfield"/>
        <s v="Hoyt, Mr. William Fisher"/>
        <s v="Hoyt, Mrs. Frederick Maxfield (Jane Anne Forby)"/>
        <s v="Icard, Miss. Amelie"/>
        <s v="Isham, Miss. Ann Elizabeth"/>
        <s v="Ismay, Mr. Joseph Bruce"/>
        <s v="Jones, Mr. Charles Cresson"/>
        <s v="Julian, Mr. Henry Forbes"/>
        <s v="Keeping, Mr. Edwin"/>
        <s v="Kent, Mr. Edward Austin"/>
        <s v="Kenyon, Mr. Frederick R"/>
        <s v="Kenyon, Mrs. Frederick R (Marion)"/>
        <s v="Kimball, Mr. Edwin Nelson Jr"/>
        <s v="Kimball, Mrs. Edwin Nelson Jr (Gertrude Parsons)"/>
        <s v="Klaber, Mr. Herman"/>
        <s v="Kreuchen, Miss. Emilie"/>
        <s v="Leader, Dr. Alice (Farnham)"/>
        <s v="LeRoy, Miss. Bertha"/>
        <s v="Lesurer, Mr. Gustave J"/>
        <s v="Lewy, Mr. Ervin G"/>
        <s v="Lindeberg-Lind, Mr. Erik Gustaf (&quot;Mr Edward Lingrey&quot;)"/>
        <s v="Lindstrom, Mrs. Carl Johan (Sigrid Posse)"/>
        <s v="Lines, Miss. Mary Conover"/>
        <s v="Lines, Mrs. Ernest H (Elizabeth Lindsey James)"/>
        <s v="Long, Mr. Milton Clyde"/>
        <s v="Longley, Miss. Gretchen Fiske"/>
        <s v="Loring, Mr. Joseph Holland"/>
        <s v="Lurette, Miss. Elise"/>
        <s v="Madill, Miss. Georgette Alexandra"/>
        <s v="Maguire, Mr. John Edward"/>
        <s v="Maioni, Miss. Roberta"/>
        <s v="Marechal, Mr. Pierre"/>
        <s v="Marvin, Mr. Daniel Warner"/>
        <s v="Marvin, Mrs. Daniel Warner (Mary Graham Carmichael Farquarson)"/>
        <s v="Mayne, Mlle. Berthe Antonine (&quot;Mrs de Villiers&quot;)"/>
        <s v="McCaffry, Mr. Thomas Francis"/>
        <s v="McCarthy, Mr. Timothy J"/>
        <s v="McGough, Mr. James Robert"/>
        <s v="Meyer, Mr. Edgar Joseph"/>
        <s v="Meyer, Mrs. Edgar Joseph (Leila Saks)"/>
        <s v="Millet, Mr. Francis Davis"/>
        <s v="Minahan, Dr. William Edward"/>
        <s v="Minahan, Miss. Daisy E"/>
        <s v="Minahan, Mrs. William Edward (Lillian E Thorpe)"/>
        <s v="Mock, Mr. Philipp Edmund"/>
        <s v="Molson, Mr. Harry Markland"/>
        <s v="Moore, Mr. Clarence Bloomfield"/>
        <s v="Natsch, Mr. Charles H"/>
        <s v="Newell, Miss. Madeleine"/>
        <s v="Newell, Miss. Marjorie"/>
        <s v="Newell, Mr. Arthur Webster"/>
        <s v="Newsom, Miss. Helen Monypeny"/>
        <s v="Nicholson, Mr. Arthur Ernest"/>
        <s v="Oliva y Ocana, Dona. Fermina"/>
        <s v="Omont, Mr. Alfred Fernand"/>
        <s v="Ostby, Miss. Helene Ragnhild"/>
        <s v="Ostby, Mr. Engelhart Cornelius"/>
        <s v="Ovies y Rodriguez, Mr. Servando"/>
        <s v="Parr, Mr. William Henry Marsh"/>
        <s v="Partner, Mr. Austen"/>
        <s v="Payne, Mr. Vivian Ponsonby"/>
        <s v="Pears, Mr. Thomas Clinton"/>
        <s v="Pears, Mrs. Thomas (Edith Wearne)"/>
        <s v="Penasco y Castellana, Mr. Victor de Satode"/>
        <s v="Penasco y Castellana, Mrs. Victor de Satode (Maria Josefa Perez de Soto y Vallejo)"/>
        <s v="Perreault, Miss. Anne"/>
        <s v="Peuchen, Major. Arthur Godfrey"/>
        <s v="Porter, Mr. Walter Chamberlain"/>
        <s v="Potter, Mrs. Thomas Jr (Lily Alexenia Wilson)"/>
        <s v="Reuchlin, Jonkheer. John George"/>
        <s v="Rheims, Mr. George Alexander Lucien"/>
        <s v="Ringhini, Mr. Sante"/>
        <s v="Robbins, Mr. Victor"/>
        <s v="Robert, Mrs. Edward Scott (Elisabeth Walton McMillan)"/>
        <s v="Roebling, Mr. Washington Augustus II"/>
        <s v="Romaine, Mr. Charles Hallace (&quot;Mr C Rolmane&quot;)"/>
        <s v="Rood, Mr. Hugh Roscoe"/>
        <s v="Rosenbaum, Miss. Edith Louise"/>
        <s v="Rosenshine, Mr. George (&quot;Mr George Thorne&quot;)"/>
        <s v="Ross, Mr. John Hugo"/>
        <s v="Rothes, the Countess. of (Lucy Noel Martha Dyer-Edwards)"/>
        <s v="Rothschild, Mr. Martin"/>
        <s v="Rothschild, Mrs. Martin (Elizabeth L. Barrett)"/>
        <s v="Rowe, Mr. Alfred G"/>
        <s v="Ryerson, Master. John Borie"/>
        <s v="Ryerson, Miss. Emily Borie"/>
        <s v="Ryerson, Miss. Susan Parker &quot;Suzette&quot;"/>
        <s v="Ryerson, Mr. Arthur Larned"/>
        <s v="Ryerson, Mrs. Arthur Larned (Emily Maria Borie)"/>
        <s v="Saalfeld, Mr. Adolphe"/>
        <s v="Sagesser, Mlle. Emma"/>
        <s v="Salomon, Mr. Abraham L"/>
        <s v="Schabert, Mrs. Paul (Emma Mock)"/>
        <s v="Serepeca, Miss. Augusta"/>
        <s v="Seward, Mr. Frederic Kimber"/>
        <s v="Shutes, Miss. Elizabeth W"/>
        <s v="Silverthorne, Mr. Spencer Victor"/>
        <s v="Silvey, Mr. William Baird"/>
        <s v="Silvey, Mrs. William Baird (Alice Munger)"/>
        <s v="Simonius-Blumer, Col. Oberst Alfons"/>
        <s v="Sloper, Mr. William Thompson"/>
        <s v="Smart, Mr. John Montgomery"/>
        <s v="Smith, Mr. James Clinch"/>
        <s v="Smith, Mr. Lucien Philip"/>
        <s v="Smith, Mr. Richard William"/>
        <s v="Smith, Mrs. Lucien Philip (Mary Eloise Hughes)"/>
        <s v="Snyder, Mr. John Pillsbury"/>
        <s v="Snyder, Mrs. John Pillsbury (Nelle Stevenson)"/>
        <s v="Spedden, Master. Robert Douglas"/>
        <s v="Spedden, Mr. Frederic Oakley"/>
        <s v="Spedden, Mrs. Frederic Oakley (Margaretta Corning Stone)"/>
        <s v="Spencer, Mr. William Augustus"/>
        <s v="Spencer, Mrs. William Augustus (Marie Eugenie)"/>
        <s v="Stahelin-Maeglin, Dr. Max"/>
        <s v="Stead, Mr. William Thomas"/>
        <s v="Stengel, Mr. Charles Emil Henry"/>
        <s v="Stengel, Mrs. Charles Emil Henry (Annie May Morris)"/>
        <s v="Stephenson, Mrs. Walter Bertram (Martha Eustis)"/>
        <s v="Stewart, Mr. Albert A"/>
        <s v="Stone, Mrs. George Nelson (Martha Evelyn)"/>
        <s v="Straus, Mr. Isidor"/>
        <s v="Straus, Mrs. Isidor (Rosalie Ida Blun)"/>
        <s v="Sutton, Mr. Frederick"/>
        <s v="Swift, Mrs. Frederick Joel (Margaret Welles Barron)"/>
        <s v="Taussig, Miss. Ruth"/>
        <s v="Taussig, Mr. Emil"/>
        <s v="Taussig, Mrs. Emil (Tillie Mandelbaum)"/>
        <s v="Taylor, Mr. Elmer Zebley"/>
        <s v="Taylor, Mrs. Elmer Zebley (Juliet Cummins Wright)"/>
        <s v="Thayer, Mr. John Borland"/>
        <s v="Thayer, Mr. John Borland Jr"/>
        <s v="Thayer, Mrs. John Borland (Marian Longstreth Morris)"/>
        <s v="Thorne, Mrs. Gertrude Maybelle"/>
        <s v="Tucker, Mr. Gilbert Milligan Jr"/>
        <s v="Uruchurtu, Don. Manuel E"/>
        <s v="Van der hoef, Mr. Wyckoff"/>
        <s v="Walker, Mr. William Anderson"/>
        <s v="Ward, Miss. Anna"/>
        <s v="Warren, Mr. Frank Manley"/>
        <s v="Warren, Mrs. Frank Manley (Anna Sophia Atkinson)"/>
        <s v="Weir, Col. John"/>
        <s v="White, Mr. Percival Wayland"/>
        <s v="White, Mr. Richard Frasar"/>
        <s v="White, Mrs. John Stuart (Ella Holmes)"/>
        <s v="Wick, Miss. Mary Natalie"/>
        <s v="Wick, Mr. George Dennick"/>
        <s v="Wick, Mrs. George Dennick (Mary Hitchcock)"/>
        <s v="Widener, Mr. George Dunton"/>
        <s v="Widener, Mr. Harry Elkins"/>
        <s v="Widener, Mrs. George Dunton (Eleanor Elkins)"/>
        <s v="Willard, Miss. Constance"/>
        <s v="Williams, Mr. Charles Duane"/>
        <s v="Williams, Mr. Richard Norris II"/>
        <s v="Williams-Lambert, Mr. Fletcher Fellows"/>
        <s v="Wilson, Miss. Helen Alice"/>
        <s v="Woolner, Mr. Hugh"/>
        <s v="Wright, Mr. George"/>
        <s v="Young, Miss. Marie Grice"/>
        <s v="Abelson, Mr. Samuel"/>
        <s v="Abelson, Mrs. Samuel (Hannah Wizosky)"/>
        <s v="Aldworth, Mr. Charles Augustus"/>
        <s v="Andrew, Mr. Edgardo Samuel"/>
        <s v="Andrew, Mr. Frank Thomas"/>
        <s v="Angle, Mr. William A"/>
        <s v="Angle, Mrs. William A (Florence &quot;Mary&quot; Agnes Hughes)"/>
        <s v="Ashby, Mr. John"/>
        <s v="Bailey, Mr. Percy Andrew"/>
        <s v="Baimbrigge, Mr. Charles Robert"/>
        <s v="Ball, Mrs. (Ada E Hall)"/>
        <s v="Banfield, Mr. Frederick James"/>
        <s v="Bateman, Rev. Robert James"/>
        <s v="Beane, Mr. Edward"/>
        <s v="Beane, Mrs. Edward (Ethel Clarke)"/>
        <s v="Beauchamp, Mr. Henry James"/>
        <s v="Becker, Master. Richard F"/>
        <s v="Becker, Miss. Marion Louise"/>
        <s v="Becker, Miss. Ruth Elizabeth"/>
        <s v="Becker, Mrs. Allen Oliver (Nellie E Baumgardner)"/>
        <s v="Beesley, Mr. Lawrence"/>
        <s v="Bentham, Miss. Lilian W"/>
        <s v="Berriman, Mr. William John"/>
        <s v="Botsford, Mr. William Hull"/>
        <s v="Bowenur, Mr. Solomon"/>
        <s v="Bracken, Mr. James H"/>
        <s v="Brown, Miss. Amelia &quot;Mildred&quot;"/>
        <s v="Brown, Miss. Edith Eileen"/>
        <s v="Brown, Mr. Thomas William Solomon"/>
        <s v="Brown, Mrs. Thomas William Solomon (Elizabeth Catherine Ford)"/>
        <s v="Bryhl, Miss. Dagmar Jenny Ingeborg "/>
        <s v="Bryhl, Mr. Kurt Arnold Gottfrid"/>
        <s v="Buss, Miss. Kate"/>
        <s v="Butler, Mr. Reginald Fenton"/>
        <s v="Byles, Rev. Thomas Roussel Davids"/>
        <s v="Bystrom, Mrs. (Karolina)"/>
        <s v="Caldwell, Master. Alden Gates"/>
        <s v="Caldwell, Mr. Albert Francis"/>
        <s v="Caldwell, Mrs. Albert Francis (Sylvia Mae Harbaugh)"/>
        <s v="Cameron, Miss. Clear Annie"/>
        <s v="Campbell, Mr. William"/>
        <s v="Carbines, Mr. William"/>
        <s v="Carter, Mrs. Ernest Courtenay (Lilian Hughes)"/>
        <s v="Carter, Rev. Ernest Courtenay"/>
        <s v="Chapman, Mr. Charles Henry"/>
        <s v="Chapman, Mr. John Henry"/>
        <s v="Chapman, Mrs. John Henry (Sara Elizabeth Lawry)"/>
        <s v="Christy, Miss. Julie Rachel"/>
        <s v="Christy, Mrs. (Alice Frances)"/>
        <s v="Clarke, Mr. Charles Valentine"/>
        <s v="Clarke, Mrs. Charles V (Ada Maria Winfield)"/>
        <s v="Coleridge, Mr. Reginald Charles"/>
        <s v="Collander, Mr. Erik Gustaf"/>
        <s v="Collett, Mr. Sidney C Stuart"/>
        <s v="Collyer, Miss. Marjorie &quot;Lottie&quot;"/>
        <s v="Collyer, Mr. Harvey"/>
        <s v="Collyer, Mrs. Harvey (Charlotte Annie Tate)"/>
        <s v="Cook, Mrs. (Selena Rogers)"/>
        <s v="Corbett, Mrs. Walter H (Irene Colvin)"/>
        <s v="Corey, Mrs. Percy C (Mary Phyllis Elizabeth Miller)"/>
        <s v="Cotterill, Mr. Henry &quot;Harry&quot;"/>
        <s v="Cunningham, Mr. Alfred Fleming"/>
        <s v="Davies, Master. John Morgan Jr"/>
        <s v="Davies, Mr. Charles Henry"/>
        <s v="Davies, Mrs. John Morgan (Elizabeth Agnes Mary White) "/>
        <s v="Davis, Miss. Mary"/>
        <s v="de Brito, Mr. Jose Joaquim"/>
        <s v="Deacon, Mr. Percy William"/>
        <s v="del Carlo, Mr. Sebastiano"/>
        <s v="del Carlo, Mrs. Sebastiano (Argenia Genovesi)"/>
        <s v="Denbury, Mr. Herbert"/>
        <s v="Dibden, Mr. William"/>
        <s v="Doling, Miss. Elsie"/>
        <s v="Doling, Mrs. John T (Ada Julia Bone)"/>
        <s v="Downton, Mr. William James"/>
        <s v="Drew, Master. Marshall Brines"/>
        <s v="Drew, Mr. James Vivian"/>
        <s v="Drew, Mrs. James Vivian (Lulu Thorne Christian)"/>
        <s v="Duran y More, Miss. Asuncion"/>
        <s v="Duran y More, Miss. Florentina"/>
        <s v="Eitemiller, Mr. George Floyd"/>
        <s v="Enander, Mr. Ingvar"/>
        <s v="Fahlstrom, Mr. Arne Jonas"/>
        <s v="Faunthorpe, Mr. Harry"/>
        <s v="Faunthorpe, Mrs. Lizzie (Elizabeth Anne Wilkinson)"/>
        <s v="Fillbrook, Mr. Joseph Charles"/>
        <s v="Fox, Mr. Stanley Hubert"/>
        <s v="Frost, Mr. Anthony Wood &quot;Archie&quot;"/>
        <s v="Funk, Miss. Annie Clemmer"/>
        <s v="Fynney, Mr. Joseph J"/>
        <s v="Gale, Mr. Harry"/>
        <s v="Gale, Mr. Shadrach"/>
        <s v="Garside, Miss. Ethel"/>
        <s v="Gaskell, Mr. Alfred"/>
        <s v="Gavey, Mr. Lawrence"/>
        <s v="Gilbert, Mr. William"/>
        <s v="Giles, Mr. Edgar"/>
        <s v="Giles, Mr. Frederick Edward"/>
        <s v="Giles, Mr. Ralph"/>
        <s v="Gill, Mr. John William"/>
        <s v="Gillespie, Mr. William Henry"/>
        <s v="Givard, Mr. Hans Kristensen"/>
        <s v="Greenberg, Mr. Samuel"/>
        <s v="Hale, Mr. Reginald"/>
        <s v="Hamalainen, Master. Viljo"/>
        <s v="Hamalainen, Mrs. William (Anna)"/>
        <s v="Harbeck, Mr. William H"/>
        <s v="Harper, Miss. Annie Jessie &quot;Nina&quot;"/>
        <s v="Harper, Rev. John"/>
        <s v="Harris, Mr. George"/>
        <s v="Harris, Mr. Walter"/>
        <s v="Hart, Miss. Eva Miriam"/>
        <s v="Hart, Mr. Benjamin"/>
        <s v="Hart, Mrs. Benjamin (Esther Ada Bloomfield)"/>
        <s v="Herman, Miss. Alice"/>
        <s v="Herman, Miss. Kate"/>
        <s v="Herman, Mr. Samuel"/>
        <s v="Herman, Mrs. Samuel (Jane Laver)"/>
        <s v="Hewlett, Mrs. (Mary D Kingcome) "/>
        <s v="Hickman, Mr. Leonard Mark"/>
        <s v="Hickman, Mr. Lewis"/>
        <s v="Hickman, Mr. Stanley George"/>
        <s v="Hiltunen, Miss. Marta"/>
        <s v="Hocking, Miss. Ellen &quot;Nellie&quot;"/>
        <s v="Hocking, Mr. Richard George"/>
        <s v="Hocking, Mr. Samuel James Metcalfe"/>
        <s v="Hocking, Mrs. Elizabeth (Eliza Needs)"/>
        <s v="Hodges, Mr. Henry Price"/>
        <s v="Hold, Mr. Stephen"/>
        <s v="Hold, Mrs. Stephen (Annie Margaret Hill)"/>
        <s v="Hood, Mr. Ambrose Jr"/>
        <s v="Hosono, Mr. Masabumi"/>
        <s v="Howard, Mr. Benjamin"/>
        <s v="Howard, Mrs. Benjamin (Ellen Truelove Arman)"/>
        <s v="Hunt, Mr. George Henry"/>
        <s v="Ilett, Miss. Bertha"/>
        <s v="Jacobsohn, Mr. Sidney Samuel"/>
        <s v="Jacobsohn, Mrs. Sidney Samuel (Amy Frances Christy)"/>
        <s v="Jarvis, Mr. John Denzil"/>
        <s v="Jefferys, Mr. Clifford Thomas"/>
        <s v="Jefferys, Mr. Ernest Wilfred"/>
        <s v="Jenkin, Mr. Stephen Curnow"/>
        <s v="Jerwan, Mrs. Amin S (Marie Marthe Thuillard)"/>
        <s v="Kantor, Mr. Sinai"/>
        <s v="Kantor, Mrs. Sinai (Miriam Sternin)"/>
        <s v="Karnes, Mrs. J Frank (Claire Bennett)"/>
        <s v="Keane, Miss. Nora A"/>
        <s v="Keane, Mr. Daniel"/>
        <s v="Kelly, Mrs. Florence &quot;Fannie&quot;"/>
        <s v="Kirkland, Rev. Charles Leonard"/>
        <s v="Knight, Mr. Robert J"/>
        <s v="Kvillner, Mr. Johan Henrik Johannesson"/>
        <s v="Lahtinen, Mrs. William (Anna Sylfven)"/>
        <s v="Lahtinen, Rev. William"/>
        <s v="Lamb, Mr. John Joseph"/>
        <s v="Laroche, Miss. Louise"/>
        <s v="Laroche, Miss. Simonne Marie Anne Andree"/>
        <s v="Laroche, Mr. Joseph Philippe Lemercier"/>
        <s v="Laroche, Mrs. Joseph (Juliette Marie Louise Lafargue)"/>
        <s v="Lehmann, Miss. Bertha"/>
        <s v="Leitch, Miss. Jessie Wills"/>
        <s v="Lemore, Mrs. (Amelia Milley)"/>
        <s v="Levy, Mr. Rene Jacques"/>
        <s v="Leyson, Mr. Robert William Norman"/>
        <s v="Lingane, Mr. John"/>
        <s v="Louch, Mr. Charles Alexander"/>
        <s v="Louch, Mrs. Charles Alexander (Alice Adelaide Slow)"/>
        <s v="Mack, Mrs. (Mary)"/>
        <s v="Malachard, Mr. Noel"/>
        <s v="Mallet, Master. Andre"/>
        <s v="Mallet, Mr. Albert"/>
        <s v="Mallet, Mrs. Albert (Antoinette Magnin)"/>
        <s v="Mangiavacchi, Mr. Serafino Emilio"/>
        <s v="Matthews, Mr. William John"/>
        <s v="Maybery, Mr. Frank Hubert"/>
        <s v="McCrae, Mr. Arthur Gordon"/>
        <s v="McCrie, Mr. James Matthew"/>
        <s v="McKane, Mr. Peter David"/>
        <s v="Mellinger, Miss. Madeleine Violet"/>
        <s v="Mellinger, Mrs. (Elizabeth Anne Maidment)"/>
        <s v="Mellors, Mr. William John"/>
        <s v="Meyer, Mr. August"/>
        <s v="Milling, Mr. Jacob Christian"/>
        <s v="Mitchell, Mr. Henry Michael"/>
        <s v="Montvila, Rev. Juozas"/>
        <s v="Moraweck, Dr. Ernest"/>
        <s v="Morley, Mr. Henry Samuel (&quot;Mr Henry Marshall&quot;)"/>
        <s v="Mudd, Mr. Thomas Charles"/>
        <s v="Myles, Mr. Thomas Francis"/>
        <s v="Nasser, Mr. Nicholas"/>
        <s v="Nasser, Mrs. Nicholas (Adele Achem)"/>
        <s v="Navratil, Master. Edmond Roger"/>
        <s v="Navratil, Master. Michel M"/>
        <s v="Navratil, Mr. Michel (&quot;Louis M Hoffman&quot;)"/>
        <s v="Nesson, Mr. Israel"/>
        <s v="Nicholls, Mr. Joseph Charles"/>
        <s v="Norman, Mr. Robert Douglas"/>
        <s v="Nourney, Mr. Alfred (&quot;Baron von Drachstedt&quot;)"/>
        <s v="Nye, Mrs. (Elizabeth Ramell)"/>
        <s v="Otter, Mr. Richard"/>
        <s v="Oxenham, Mr. Percy Thomas"/>
        <s v="Padro y Manent, Mr. Julian"/>
        <s v="Pain, Dr. Alfred"/>
        <s v="Pallas y Castello, Mr. Emilio"/>
        <s v="Parker, Mr. Clifford Richard"/>
        <s v="Parkes, Mr. Francis &quot;Frank&quot;"/>
        <s v="Parrish, Mrs. (Lutie Davis)"/>
        <s v="Pengelly, Mr. Frederick William"/>
        <s v="Pernot, Mr. Rene"/>
        <s v="Peruschitz, Rev. Joseph Maria"/>
        <s v="Phillips, Miss. Alice Frances Louisa"/>
        <s v="Phillips, Miss. Kate Florence (&quot;Mrs Kate Louise Phillips Marshall&quot;)"/>
        <s v="Phillips, Mr. Escott Robert"/>
        <s v="Pinsky, Mrs. (Rosa)"/>
        <s v="Ponesell, Mr. Martin"/>
        <s v="Portaluppi, Mr. Emilio Ilario Giuseppe"/>
        <s v="Pulbaum, Mr. Franz"/>
        <s v="Quick, Miss. Phyllis May"/>
        <s v="Quick, Miss. Winifred Vera"/>
        <s v="Quick, Mrs. Frederick Charles (Jane Richards)"/>
        <s v="Reeves, Mr. David"/>
        <s v="Renouf, Mr. Peter Henry"/>
        <s v="Renouf, Mrs. Peter Henry (Lillian Jefferys)"/>
        <s v="Reynaldo, Ms. Encarnacion"/>
        <s v="Richard, Mr. Emile"/>
        <s v="Richards, Master. George Sibley"/>
        <s v="Richards, Master. William Rowe"/>
        <s v="Richards, Mrs. Sidney (Emily Hocking)"/>
        <s v="Ridsdale, Miss. Lucy"/>
        <s v="Rogers, Mr. Reginald Harry"/>
        <s v="Rugg, Miss. Emily"/>
        <s v="Schmidt, Mr. August"/>
        <s v="Sedgwick, Mr. Charles Frederick Waddington"/>
        <s v="Sharp, Mr. Percival James R"/>
        <s v="Shelley, Mrs. William (Imanita Parrish Hall)"/>
        <s v="Silven, Miss. Lyyli Karoliina"/>
        <s v="Sincock, Miss. Maude"/>
        <s v="Sinkkonen, Miss. Anna"/>
        <s v="Sjostedt, Mr. Ernst Adolf"/>
        <s v="Slayter, Miss. Hilda Mary"/>
        <s v="Slemen, Mr. Richard James"/>
        <s v="Smith, Miss. Marion Elsie"/>
        <s v="Sobey, Mr. Samuel James Hayden"/>
        <s v="Stanton, Mr. Samuel Ward"/>
        <s v="Stokes, Mr. Philip Joseph"/>
        <s v="Swane, Mr. George"/>
        <s v="Sweet, Mr. George Frederick"/>
        <s v="Toomey, Miss. Ellen"/>
        <s v="Troupiansky, Mr. Moses Aaron"/>
        <s v="Trout, Mrs. William H (Jessie L)"/>
        <s v="Troutt, Miss. Edwina Celia &quot;Winnie&quot;"/>
        <s v="Turpin, Mr. William John Robert"/>
        <s v="Turpin, Mrs. William John Robert (Dorothy Ann Wonnacott)"/>
        <s v="Veal, Mr. James"/>
        <s v="Walcroft, Miss. Nellie"/>
        <s v="Ware, Mr. John James"/>
        <s v="Ware, Mr. William Jeffery"/>
        <s v="Ware, Mrs. John James (Florence Louise Long)"/>
        <s v="Watson, Mr. Ennis Hastings"/>
        <s v="Watt, Miss. Bertha J"/>
        <s v="Watt, Mrs. James (Elizabeth &quot;Bessie&quot; Inglis Milne)"/>
        <s v="Webber, Miss. Susan"/>
        <s v="Weisz, Mr. Leopold"/>
        <s v="Weisz, Mrs. Leopold (Mathilde Francoise Pede)"/>
        <s v="Wells, Master. Ralph Lester"/>
        <s v="Wells, Miss. Joan"/>
        <s v="Wells, Mrs. Arthur Henry (&quot;Addie&quot; Dart Trevaskis)"/>
        <s v="West, Miss. Barbara J"/>
        <s v="West, Miss. Constance Mirium"/>
        <s v="West, Mr. Edwy Arthur"/>
        <s v="West, Mrs. Edwy Arthur (Ada Mary Worth)"/>
        <s v="Wheadon, Mr. Edward H"/>
        <s v="Wheeler, Mr. Edwin &quot;Frederick&quot;"/>
        <s v="Wilhelms, Mr. Charles"/>
        <s v="Williams, Mr. Charles Eugene"/>
        <s v="Wright, Miss. Marion"/>
        <s v="Yrois, Miss. Henriette (&quot;Mrs Harbeck&quot;)"/>
        <s v="Abbing, Mr. Anthony"/>
        <s v="Abbott, Master. Eugene Joseph"/>
        <s v="Abbott, Mr. Rossmore Edward"/>
        <s v="Abbott, Mrs. Stanton (Rosa Hunt)"/>
        <s v="Abelseth, Miss. Karen Marie"/>
        <s v="Abelseth, Mr. Olaus Jorgensen"/>
        <s v="Abrahamsson, Mr. Abraham August Johannes"/>
        <s v="Abrahim, Mrs. Joseph (Sophie Halaut Easu)"/>
        <s v="Adahl, Mr. Mauritz Nils Martin"/>
        <s v="Adams, Mr. John"/>
        <s v="Ahlin, Mrs. Johan (Johanna Persdotter Larsson)"/>
        <s v="Aks, Master. Philip Frank"/>
        <s v="Aks, Mrs. Sam (Leah Rosen)"/>
        <s v="Albimona, Mr. Nassef Cassem"/>
        <s v="Alexander, Mr. William"/>
        <s v="Alhomaki, Mr. Ilmari Rudolf"/>
        <s v="Ali, Mr. Ahmed"/>
        <s v="Ali, Mr. William"/>
        <s v="Allen, Mr. William Henry"/>
        <s v="Allum, Mr. Owen George"/>
        <s v="Andersen, Mr. Albert Karvin"/>
        <s v="Andersen-Jensen, Miss. Carla Christine Nielsine"/>
        <s v="Andersson, Master. Sigvard Harald Elias"/>
        <s v="Andersson, Miss. Ebba Iris Alfrida"/>
        <s v="Andersson, Miss. Ellis Anna Maria"/>
        <s v="Andersson, Miss. Erna Alexandra"/>
        <s v="Andersson, Miss. Ida Augusta Margareta"/>
        <s v="Andersson, Miss. Ingeborg Constanzia"/>
        <s v="Andersson, Miss. Sigrid Elisabeth"/>
        <s v="Andersson, Mr. Anders Johan"/>
        <s v="Andersson, Mr. August Edvard (&quot;Wennerstrom&quot;)"/>
        <s v="Andersson, Mr. Johan Samuel"/>
        <s v="Andersson, Mrs. Anders Johan (Alfrida Konstantia Brogren)"/>
        <s v="Andreasson, Mr. Paul Edvin"/>
        <s v="Angheloff, Mr. Minko"/>
        <s v="Arnold-Franchi, Mr. Josef"/>
        <s v="Arnold-Franchi, Mrs. Josef (Josefine Franchi)"/>
        <s v="Aronsson, Mr. Ernst Axel Algot"/>
        <s v="Asim, Mr. Adola"/>
        <s v="Asplund, Master. Carl Edgar"/>
        <s v="Asplund, Master. Clarence Gustaf Hugo"/>
        <s v="Asplund, Master. Edvin Rojj Felix"/>
        <s v="Asplund, Master. Filip Oscar"/>
        <s v="Asplund, Miss. Lillian Gertrud"/>
        <s v="Asplund, Mr. Carl Oscar Vilhelm Gustafsson"/>
        <s v="Asplund, Mr. Johan Charles"/>
        <s v="Asplund, Mrs. Carl Oscar (Selma Augusta Emilia Johansson)"/>
        <s v="Assaf Khalil, Mrs. Mariana (&quot;Miriam&quot;)"/>
        <s v="Assaf, Mr. Gerios"/>
        <s v="Assam, Mr. Ali"/>
        <s v="Attalah, Miss. Malake"/>
        <s v="Attalah, Mr. Sleiman"/>
        <s v="Augustsson, Mr. Albert"/>
        <s v="Ayoub, Miss. Banoura"/>
        <s v="Baccos, Mr. Raffull"/>
        <s v="Backstrom, Mr. Karl Alfred"/>
        <s v="Backstrom, Mrs. Karl Alfred (Maria Mathilda Gustafsson)"/>
        <s v="Baclini, Miss. Eugenie"/>
        <s v="Baclini, Miss. Helene Barbara"/>
        <s v="Baclini, Miss. Marie Catherine"/>
        <s v="Baclini, Mrs. Solomon (Latifa Qurban)"/>
        <s v="Badman, Miss. Emily Louisa"/>
        <s v="Badt, Mr. Mohamed"/>
        <s v="Balkic, Mr. Cerin"/>
        <s v="Barah, Mr. Hanna Assi"/>
        <s v="Barbara, Miss. Saiide"/>
        <s v="Barbara, Mrs. (Catherine David)"/>
        <s v="Barry, Miss. Julia"/>
        <s v="Barton, Mr. David John"/>
        <s v="Beavan, Mr. William Thomas"/>
        <s v="Bengtsson, Mr. John Viktor"/>
        <s v="Berglund, Mr. Karl Ivar Sven"/>
        <s v="Betros, Master. Seman"/>
        <s v="Betros, Mr. Tannous"/>
        <s v="Bing, Mr. Lee"/>
        <s v="Birkeland, Mr. Hans Martin Monsen"/>
        <s v="Bjorklund, Mr. Ernst Herbert"/>
        <s v="Bostandyeff, Mr. Guentcho"/>
        <s v="Boulos, Master. Akar"/>
        <s v="Boulos, Miss. Nourelain"/>
        <s v="Boulos, Mr. Hanna"/>
        <s v="Boulos, Mrs. Joseph (Sultana)"/>
        <s v="Bourke, Miss. Mary"/>
        <s v="Bourke, Mr. John"/>
        <s v="Bourke, Mrs. John (Catherine)"/>
        <s v="Bowen, Mr. David John &quot;Dai&quot;"/>
        <s v="Bradley, Miss. Bridget Delia"/>
        <s v="Braf, Miss. Elin Ester Maria"/>
        <s v="Braund, Mr. Lewis Richard"/>
        <s v="Braund, Mr. Owen Harris"/>
        <s v="Brobeck, Mr. Karl Rudolf"/>
        <s v="Brocklebank, Mr. William Alfred"/>
        <s v="Buckley, Miss. Katherine"/>
        <s v="Buckley, Mr. Daniel"/>
        <s v="Burke, Mr. Jeremiah"/>
        <s v="Burns, Miss. Mary Delia"/>
        <s v="Cacic, Miss. Manda"/>
        <s v="Cacic, Miss. Marija"/>
        <s v="Cacic, Mr. Jego Grga"/>
        <s v="Cacic, Mr. Luka"/>
        <s v="Calic, Mr. Jovo"/>
        <s v="Calic, Mr. Petar"/>
        <s v="Canavan, Miss. Mary"/>
        <s v="Canavan, Mr. Patrick"/>
        <s v="Cann, Mr. Ernest Charles"/>
        <s v="Caram, Mr. Joseph"/>
        <s v="Caram, Mrs. Joseph (Maria Elias)"/>
        <s v="Carlsson, Mr. August Sigfrid"/>
        <s v="Carlsson, Mr. Carl Robert"/>
        <s v="Carr, Miss. Helen &quot;Ellen&quot;"/>
        <s v="Carr, Miss. Jeannie"/>
        <s v="Carver, Mr. Alfred John"/>
        <s v="Celotti, Mr. Francesco"/>
        <s v="Charters, Mr. David"/>
        <s v="Chip, Mr. Chang"/>
        <s v="Christmann, Mr. Emil"/>
        <s v="Chronopoulos, Mr. Apostolos"/>
        <s v="Chronopoulos, Mr. Demetrios"/>
        <s v="Coelho, Mr. Domingos Fernandeo"/>
        <s v="Cohen, Mr. Gurshon &quot;Gus&quot;"/>
        <s v="Colbert, Mr. Patrick"/>
        <s v="Coleff, Mr. Peju"/>
        <s v="Coleff, Mr. Satio"/>
        <s v="Conlon, Mr. Thomas Henry"/>
        <s v="Connaghton, Mr. Michael"/>
        <s v="Connolly, Miss. Kate"/>
        <s v="Connors, Mr. Patrick"/>
        <s v="Cook, Mr. Jacob"/>
        <s v="Cor, Mr. Bartol"/>
        <s v="Cor, Mr. Ivan"/>
        <s v="Cor, Mr. Liudevit"/>
        <s v="Corn, Mr. Harry"/>
        <s v="Coutts, Master. Eden Leslie &quot;Neville&quot;"/>
        <s v="Coutts, Master. William Loch &quot;William&quot;"/>
        <s v="Coutts, Mrs. William (Winnie &quot;Minnie&quot; Treanor)"/>
        <s v="Coxon, Mr. Daniel"/>
        <s v="Crease, Mr. Ernest James"/>
        <s v="Cribb, Miss. Laura Alice"/>
        <s v="Cribb, Mr. John Hatfield"/>
        <s v="Culumovic, Mr. Jeso"/>
        <s v="Daher, Mr. Shedid"/>
        <s v="Dahl, Mr. Karl Edwart"/>
        <s v="Dahlberg, Miss. Gerda Ulrika"/>
        <s v="Dakic, Mr. Branko"/>
        <s v="Daly, Miss. Margaret Marcella &quot;Maggie&quot;"/>
        <s v="Daly, Mr. Eugene Patrick"/>
        <s v="Danbom, Master. Gilbert Sigvard Emanuel"/>
        <s v="Danbom, Mr. Ernst Gilbert"/>
        <s v="Danbom, Mrs. Ernst Gilbert (Anna Sigrid Maria Brogren)"/>
        <s v="Danoff, Mr. Yoto"/>
        <s v="Dantcheff, Mr. Ristiu"/>
        <s v="Davies, Mr. Alfred J"/>
        <s v="Davies, Mr. Evan"/>
        <s v="Davies, Mr. John Samuel"/>
        <s v="Davies, Mr. Joseph"/>
        <s v="Davison, Mr. Thomas Henry"/>
        <s v="Davison, Mrs. Thomas Henry (Mary E Finck)"/>
        <s v="de Messemaeker, Mr. Guillaume Joseph"/>
        <s v="de Messemaeker, Mrs. Guillaume Joseph (Emma)"/>
        <s v="de Mulder, Mr. Theodore"/>
        <s v="de Pelsmaeker, Mr. Alfons"/>
        <s v="Dean, Master. Bertram Vere"/>
        <s v="Dean, Miss. Elizabeth Gladys &quot;Millvina&quot;"/>
        <s v="Dean, Mr. Bertram Frank"/>
        <s v="Dean, Mrs. Bertram (Eva Georgetta Light)"/>
        <s v="Delalic, Mr. Redjo"/>
        <s v="Demetri, Mr. Marinko"/>
        <s v="Denkoff, Mr. Mitto"/>
        <s v="Dennis, Mr. Samuel"/>
        <s v="Dennis, Mr. William"/>
        <s v="Devaney, Miss. Margaret Delia"/>
        <s v="Dika, Mr. Mirko"/>
        <s v="Dimic, Mr. Jovan"/>
        <s v="Dintcheff, Mr. Valtcho"/>
        <s v="Doharr, Mr. Tannous"/>
        <s v="Dooley, Mr. Patrick"/>
        <s v="Dorking, Mr. Edward Arthur"/>
        <s v="Dowdell, Miss. Elizabeth"/>
        <s v="Doyle, Miss. Elizabeth"/>
        <s v="Drapkin, Miss. Jennie"/>
        <s v="Drazenoic, Mr. Jozef"/>
        <s v="Duane, Mr. Frank"/>
        <s v="Duquemin, Mr. Joseph"/>
        <s v="Dyker, Mr. Adolf Fredrik"/>
        <s v="Dyker, Mrs. Adolf Fredrik (Anna Elisabeth Judith Andersson)"/>
        <s v="Edvardsson, Mr. Gustaf Hjalmar"/>
        <s v="Eklund, Mr. Hans Linus"/>
        <s v="Ekstrom, Mr. Johan"/>
        <s v="Elias, Mr. Dibo"/>
        <s v="Elias, Mr. Joseph"/>
        <s v="Elias, Mr. Joseph Jr"/>
        <s v="Elias, Mr. Tannous"/>
        <s v="Elsbury, Mr. William James"/>
        <s v="Emanuel, Miss. Virginia Ethel"/>
        <s v="Emir, Mr. Farred Chehab"/>
        <s v="Everett, Mr. Thomas James"/>
        <s v="Farrell, Mr. James"/>
        <s v="Finoli, Mr. Luigi"/>
        <s v="Fischer, Mr. Eberhard Thelander"/>
        <s v="Fleming, Miss. Honora"/>
        <s v="Flynn, Mr. James"/>
        <s v="Flynn, Mr. John"/>
        <s v="Foley, Mr. Joseph"/>
        <s v="Foley, Mr. William"/>
        <s v="Foo, Mr. Choong"/>
        <s v="Ford, Miss. Doolina Margaret &quot;Daisy&quot;"/>
        <s v="Ford, Miss. Robina Maggie &quot;Ruby&quot;"/>
        <s v="Ford, Mr. Arthur"/>
        <s v="Ford, Mr. Edward Watson"/>
        <s v="Ford, Mr. William Neal"/>
        <s v="Ford, Mrs. Edward (Margaret Ann Watson)"/>
        <s v="Fox, Mr. Patrick"/>
        <s v="Franklin, Mr. Charles (Charles Fardon)"/>
        <s v="Gallagher, Mr. Martin"/>
        <s v="Garfirth, Mr. John"/>
        <s v="Gheorgheff, Mr. Stanio"/>
        <s v="Gilinski, Mr. Eliezer"/>
        <s v="Gilnagh, Miss. Katherine &quot;Katie&quot;"/>
        <s v="Glynn, Miss. Mary Agatha"/>
        <s v="Goldsmith, Master. Frank John William &quot;Frankie&quot;"/>
        <s v="Goldsmith, Mr. Frank John"/>
        <s v="Goldsmith, Mr. Nathan"/>
        <s v="Goldsmith, Mrs. Frank John (Emily Alice Brown)"/>
        <s v="Goncalves, Mr. Manuel Estanslas"/>
        <s v="Goodwin, Master. Harold Victor"/>
        <s v="Goodwin, Master. Sidney Leonard"/>
        <s v="Goodwin, Master. William Frederick"/>
        <s v="Goodwin, Miss. Jessie Allis"/>
        <s v="Goodwin, Miss. Lillian Amy"/>
        <s v="Goodwin, Mr. Charles Edward"/>
        <s v="Goodwin, Mr. Charles Frederick"/>
        <s v="Goodwin, Mrs. Frederick (Augusta Tyler)"/>
        <s v="Green, Mr. George Henry"/>
        <s v="Gronnestad, Mr. Daniel Danielsen"/>
        <s v="Guest, Mr. Robert"/>
        <s v="Gustafsson, Mr. Alfred Ossian"/>
        <s v="Gustafsson, Mr. Anders Vilhelm"/>
        <s v="Gustafsson, Mr. Johan Birger"/>
        <s v="Gustafsson, Mr. Karl Gideon"/>
        <s v="Haas, Miss. Aloisia"/>
        <s v="Hagardon, Miss. Kate"/>
        <s v="Hagland, Mr. Ingvald Olai Olsen"/>
        <s v="Hagland, Mr. Konrad Mathias Reiersen"/>
        <s v="Hakkarainen, Mr. Pekka Pietari"/>
        <s v="Hakkarainen, Mrs. Pekka Pietari (Elin Matilda Dolck)"/>
        <s v="Hampe, Mr. Leon"/>
        <s v="Hanna, Mr. Mansour"/>
        <s v="Hansen, Mr. Claus Peter"/>
        <s v="Hansen, Mr. Henrik Juul"/>
        <s v="Hansen, Mr. Henry Damsgaard"/>
        <s v="Hansen, Mrs. Claus Peter (Jennie L Howard)"/>
        <s v="Harknett, Miss. Alice Phoebe"/>
        <s v="Harmer, Mr. Abraham (David Lishin)"/>
        <s v="Hart, Mr. Henry"/>
        <s v="Hassan, Mr. Houssein G N"/>
        <s v="Healy, Miss. Hanora &quot;Nora&quot;"/>
        <s v="Hedman, Mr. Oskar Arvid"/>
        <s v="Hee, Mr. Ling"/>
        <s v="Hegarty, Miss. Hanora &quot;Nora&quot;"/>
        <s v="Heikkinen, Miss. Laina"/>
        <s v="Heininen, Miss. Wendla Maria"/>
        <s v="Hellstrom, Miss. Hilda Maria"/>
        <s v="Hendekovic, Mr. Ignjac"/>
        <s v="Henriksson, Miss. Jenny Lovisa"/>
        <s v="Henry, Miss. Delia"/>
        <s v="Hirvonen, Miss. Hildur E"/>
        <s v="Hirvonen, Mrs. Alexander (Helga E Lindqvist)"/>
        <s v="Holm, Mr. John Fredrik Alexander"/>
        <s v="Holthen, Mr. Johan Martin"/>
        <s v="Honkanen, Miss. Eliina"/>
        <s v="Horgan, Mr. John"/>
        <s v="Howard, Miss. May Elizabeth"/>
        <s v="Humblen, Mr. Adolf Mathias Nicolai Olsen"/>
        <s v="Hyman, Mr. Abraham"/>
        <s v="Ibrahim Shawah, Mr. Yousseff"/>
        <s v="Ilieff, Mr. Ylio"/>
        <s v="Ilmakangas, Miss. Ida Livija"/>
        <s v="Ilmakangas, Miss. Pieta Sofia"/>
        <s v="Ivanoff, Mr. Kanio"/>
        <s v="Jalsevac, Mr. Ivan"/>
        <s v="Jansson, Mr. Carl Olof"/>
        <s v="Jardin, Mr. Jose Neto"/>
        <s v="Jensen, Mr. Hans Peder"/>
        <s v="Jensen, Mr. Niels Peder"/>
        <s v="Jensen, Mr. Svend Lauritz"/>
        <s v="Jermyn, Miss. Annie"/>
        <s v="Johannesen-Bratthammer, Mr. Bernt"/>
        <s v="Johanson, Mr. Jakob Alfred"/>
        <s v="Johansson Palmquist, Mr. Oskar Leander"/>
        <s v="Johansson, Mr. Erik"/>
        <s v="Johansson, Mr. Gustaf Joel"/>
        <s v="Johansson, Mr. Karl Johan"/>
        <s v="Johansson, Mr. Nils"/>
        <s v="Johnson, Master. Harold Theodor"/>
        <s v="Johnson, Miss. Eleanor Ileen"/>
        <s v="Johnson, Mr. Alfred"/>
        <s v="Johnson, Mr. Malkolm Joackim"/>
        <s v="Johnson, Mr. William Cahoone Jr"/>
        <s v="Johnson, Mrs. Oscar W (Elisabeth Vilhelmina Berg)"/>
        <s v="Johnston, Master. William Arthur &quot;Willie&quot;"/>
        <s v="Johnston, Miss. Catherine Helen &quot;Carrie&quot;"/>
        <s v="Johnston, Mr. Andrew G"/>
        <s v="Johnston, Mrs. Andrew G (Elizabeth &quot;Lily&quot; Watson)"/>
        <s v="Jonkoff, Mr. Lalio"/>
        <s v="Jonsson, Mr. Carl"/>
        <s v="Jonsson, Mr. Nils Hilding"/>
        <s v="Jussila, Miss. Katriina"/>
        <s v="Jussila, Miss. Mari Aina"/>
        <s v="Jussila, Mr. Eiriik"/>
        <s v="Kallio, Mr. Nikolai Erland"/>
        <s v="Kalvik, Mr. Johannes Halvorsen"/>
        <s v="Karaic, Mr. Milan"/>
        <s v="Karlsson, Mr. Einar Gervasius"/>
        <s v="Karlsson, Mr. Julius Konrad Eugen"/>
        <s v="Karlsson, Mr. Nils August"/>
        <s v="Karun, Miss. Manca"/>
        <s v="Karun, Mr. Franz"/>
        <s v="Kassem, Mr. Fared"/>
        <s v="Katavelas, Mr. Vassilios (&quot;Catavelas Vassilios&quot;)"/>
        <s v="Keane, Mr. Andrew &quot;Andy&quot;"/>
        <s v="Keefe, Mr. Arthur"/>
        <s v="Kelly, Miss. Anna Katherine &quot;Annie Kate&quot;"/>
        <s v="Kelly, Miss. Mary"/>
        <s v="Kelly, Mr. James"/>
        <s v="Kennedy, Mr. John"/>
        <s v="Khalil, Mr. Betros"/>
        <s v="Khalil, Mrs. Betros (Zahie &quot;Maria&quot; Elias)"/>
        <s v="Kiernan, Mr. John"/>
        <s v="Kiernan, Mr. Philip"/>
        <s v="Kilgannon, Mr. Thomas J"/>
        <s v="Kink, Miss. Maria"/>
        <s v="Kink, Mr. Vincenz"/>
        <s v="Kink-Heilmann, Miss. Luise Gretchen"/>
        <s v="Kink-Heilmann, Mr. Anton"/>
        <s v="Kink-Heilmann, Mrs. Anton (Luise Heilmann)"/>
        <s v="Klasen, Miss. Gertrud Emilia"/>
        <s v="Klasen, Mr. Klas Albin"/>
        <s v="Klasen, Mrs. (Hulda Kristina Eugenia Lofqvist)"/>
        <s v="Kraeff, Mr. Theodor"/>
        <s v="Krekorian, Mr. Neshan"/>
        <s v="Lahoud, Mr. Sarkis"/>
        <s v="Laitinen, Miss. Kristina Sofia"/>
        <s v="Laleff, Mr. Kristo"/>
        <s v="Lam, Mr. Ali"/>
        <s v="Lam, Mr. Len"/>
        <s v="Landergren, Miss. Aurora Adelia"/>
        <s v="Lane, Mr. Patrick"/>
        <s v="Lang, Mr. Fang"/>
        <s v="Larsson, Mr. August Viktor"/>
        <s v="Larsson, Mr. Bengt Edvin"/>
        <s v="Larsson-Rondberg, Mr. Edvard A"/>
        <s v="Leeni, Mr. Fahim (&quot;Philip Zenni&quot;)"/>
        <s v="Lefebre, Master. Henry Forbes"/>
        <s v="Lefebre, Miss. Ida"/>
        <s v="Lefebre, Miss. Jeannie"/>
        <s v="Lefebre, Miss. Mathilde"/>
        <s v="Lefebre, Mrs. Frank (Frances)"/>
        <s v="Leinonen, Mr. Antti Gustaf"/>
        <s v="Lemberopolous, Mr. Peter L"/>
        <s v="Lennon, Miss. Mary"/>
        <s v="Lennon, Mr. Denis"/>
        <s v="Leonard, Mr. Lionel"/>
        <s v="Lester, Mr. James"/>
        <s v="Lievens, Mr. Rene Aime"/>
        <s v="Lindahl, Miss. Agda Thorilda Viktoria"/>
        <s v="Lindblom, Miss. Augusta Charlotta"/>
        <s v="Lindell, Mr. Edvard Bengtsson"/>
        <s v="Lindell, Mrs. Edvard Bengtsson (Elin Gerda Persson)"/>
        <s v="Lindqvist, Mr. Eino William"/>
        <s v="Linehan, Mr. Michael"/>
        <s v="Ling, Mr. Lee"/>
        <s v="Lithman, Mr. Simon"/>
        <s v="Lobb, Mr. William Arthur"/>
        <s v="Lobb, Mrs. William Arthur (Cordelia K Stanlick)"/>
        <s v="Lockyer, Mr. Edward"/>
        <s v="Lovell, Mr. John Hall (&quot;Henry&quot;)"/>
        <s v="Lulic, Mr. Nikola"/>
        <s v="Lundahl, Mr. Johan Svensson"/>
        <s v="Lundin, Miss. Olga Elida"/>
        <s v="Lundstrom, Mr. Thure Edvin"/>
        <s v="Lyntakoff, Mr. Stanko"/>
        <s v="MacKay, Mr. George William"/>
        <s v="Madigan, Miss. Margaret &quot;Maggie&quot;"/>
        <s v="Madsen, Mr. Fridtjof Arne"/>
        <s v="Maenpaa, Mr. Matti Alexanteri"/>
        <s v="Mahon, Miss. Bridget Delia"/>
        <s v="Mahon, Mr. John"/>
        <s v="Maisner, Mr. Simon"/>
        <s v="Makinen, Mr. Kalle Edvard"/>
        <s v="Mamee, Mr. Hanna"/>
        <s v="Mangan, Miss. Mary"/>
        <s v="Mannion, Miss. Margareth"/>
        <s v="Mardirosian, Mr. Sarkis"/>
        <s v="Markoff, Mr. Marin"/>
        <s v="Markun, Mr. Johann"/>
        <s v="Masselmani, Mrs. Fatima"/>
        <s v="Matinoff, Mr. Nicola"/>
        <s v="McCarthy, Miss. Catherine &quot;Katie&quot;"/>
        <s v="McCormack, Mr. Thomas Joseph"/>
        <s v="McCoy, Miss. Agnes"/>
        <s v="McCoy, Miss. Alicia"/>
        <s v="McCoy, Mr. Bernard"/>
        <s v="McDermott, Miss. Brigdet Delia"/>
        <s v="McEvoy, Mr. Michael"/>
        <s v="McGovern, Miss. Mary"/>
        <s v="McGowan, Miss. Anna &quot;Annie&quot;"/>
        <s v="McGowan, Miss. Katherine"/>
        <s v="McMahon, Mr. Martin"/>
        <s v="McNamee, Mr. Neal"/>
        <s v="McNamee, Mrs. Neal (Eileen O'Leary)"/>
        <s v="McNeill, Miss. Bridget"/>
        <s v="Meanwell, Miss. (Marion Ogden)"/>
        <s v="Meek, Mrs. Thomas (Annie Louise Rowley)"/>
        <s v="Meo, Mr. Alfonzo"/>
        <s v="Mernagh, Mr. Robert"/>
        <s v="Midtsjo, Mr. Karl Albert"/>
        <s v="Miles, Mr. Frank"/>
        <s v="Mineff, Mr. Ivan"/>
        <s v="Minkoff, Mr. Lazar"/>
        <s v="Mionoff, Mr. Stoytcho"/>
        <s v="Mitkoff, Mr. Mito"/>
        <s v="Mockler, Miss. Helen Mary &quot;Ellie&quot;"/>
        <s v="Moen, Mr. Sigurd Hansen"/>
        <s v="Moor, Master. Meier"/>
        <s v="Moor, Mrs. (Beila)"/>
        <s v="Moore, Mr. Leonard Charles"/>
        <s v="Moran, Miss. Bertha"/>
        <s v="Moran, Mr. Daniel J"/>
        <s v="Moran, Mr. James"/>
        <s v="Morley, Mr. William"/>
        <s v="Morrow, Mr. Thomas Rowan"/>
        <s v="Moss, Mr. Albert Johan"/>
        <s v="Moubarek, Master. Gerios"/>
        <s v="Moubarek, Master. Halim Gonios (&quot;William George&quot;)"/>
        <s v="Moubarek, Mrs. George (Omine &quot;Amenia&quot; Alexander)"/>
        <s v="Moussa, Mrs. (Mantoura Boulos)"/>
        <s v="Moutal, Mr. Rahamin Haim"/>
        <s v="Mullens, Miss. Katherine &quot;Katie&quot;"/>
        <s v="Mulvihill, Miss. Bertha E"/>
        <s v="Murdlin, Mr. Joseph"/>
        <s v="Murphy, Miss. Katherine &quot;Kate&quot;"/>
        <s v="Murphy, Miss. Margaret Jane"/>
        <s v="Murphy, Miss. Nora"/>
        <s v="Myhrman, Mr. Pehr Fabian Oliver Malkolm"/>
        <s v="Naidenoff, Mr. Penko"/>
        <s v="Najib, Miss. Adele Kiamie &quot;Jane&quot;"/>
        <s v="Nakid, Miss. Maria (&quot;Mary&quot;)"/>
        <s v="Nakid, Mr. Sahid"/>
        <s v="Nakid, Mrs. Said (Waika &quot;Mary&quot; Mowad)"/>
        <s v="Nancarrow, Mr. William Henry"/>
        <s v="Nankoff, Mr. Minko"/>
        <s v="Nasr, Mr. Mustafa"/>
        <s v="Naughton, Miss. Hannah"/>
        <s v="Nenkoff, Mr. Christo"/>
        <s v="Nicola-Yarred, Master. Elias"/>
        <s v="Nicola-Yarred, Miss. Jamila"/>
        <s v="Nieminen, Miss. Manta Josefina"/>
        <s v="Niklasson, Mr. Samuel"/>
        <s v="Nilsson, Miss. Berta Olivia"/>
        <s v="Nilsson, Miss. Helmina Josefina"/>
        <s v="Nilsson, Mr. August Ferdinand"/>
        <s v="Nirva, Mr. Iisakki Antino Aijo"/>
        <s v="Niskanen, Mr. Juha"/>
        <s v="Nosworthy, Mr. Richard Cater"/>
        <s v="Novel, Mr. Mansouer"/>
        <s v="Nysten, Miss. Anna Sofia"/>
        <s v="Nysveen, Mr. Johan Hansen"/>
        <s v="O'Brien, Mr. Thomas"/>
        <s v="O'Brien, Mr. Timothy"/>
        <s v="O'Brien, Mrs. Thomas (Johanna &quot;Hannah&quot; Godfrey)"/>
        <s v="O'Connell, Mr. Patrick D"/>
        <s v="O'Connor, Mr. Maurice"/>
        <s v="O'Connor, Mr. Patrick"/>
        <s v="Odahl, Mr. Nils Martin"/>
        <s v="O'Donoghue, Ms. Bridget"/>
        <s v="O'Driscoll, Miss. Bridget"/>
        <s v="O'Dwyer, Miss. Ellen &quot;Nellie&quot;"/>
        <s v="Ohman, Miss. Velin"/>
        <s v="O'Keefe, Mr. Patrick"/>
        <s v="O'Leary, Miss. Hanora &quot;Norah&quot;"/>
        <s v="Olsen, Master. Artur Karl"/>
        <s v="Olsen, Mr. Henry Margido"/>
        <s v="Olsen, Mr. Karl Siegwart Andreas"/>
        <s v="Olsen, Mr. Ole Martin"/>
        <s v="Olsson, Miss. Elina"/>
        <s v="Olsson, Mr. Nils Johan Goransson"/>
        <s v="Olsson, Mr. Oscar Wilhelm"/>
        <s v="Olsvigen, Mr. Thor Anderson"/>
        <s v="Oreskovic, Miss. Jelka"/>
        <s v="Oreskovic, Miss. Marija"/>
        <s v="Oreskovic, Mr. Luka"/>
        <s v="Osen, Mr. Olaf Elon"/>
        <s v="Osman, Mrs. Mara"/>
        <s v="O'Sullivan, Miss. Bridget Mary"/>
        <s v="Palsson, Master. Gosta Leonard"/>
        <s v="Palsson, Master. Paul Folke"/>
        <s v="Palsson, Miss. Stina Viola"/>
        <s v="Palsson, Miss. Torborg Danira"/>
        <s v="Palsson, Mrs. Nils (Alma Cornelia Berglund)"/>
        <s v="Panula, Master. Eino Viljami"/>
        <s v="Panula, Master. Juha Niilo"/>
        <s v="Panula, Master. Urho Abraham"/>
        <s v="Panula, Mr. Ernesti Arvid"/>
        <s v="Panula, Mr. Jaako Arnold"/>
        <s v="Panula, Mrs. Juha (Maria Emilia Ojala)"/>
        <s v="Pasic, Mr. Jakob"/>
        <s v="Patchett, Mr. George"/>
        <s v="Paulner, Mr. Uscher"/>
        <s v="Pavlovic, Mr. Stefo"/>
        <s v="Peacock, Master. Alfred Edward"/>
        <s v="Peacock, Miss. Treasteall"/>
        <s v="Peacock, Mrs. Benjamin (Edith Nile)"/>
        <s v="Pearce, Mr. Ernest"/>
        <s v="Pedersen, Mr. Olaf"/>
        <s v="Peduzzi, Mr. Joseph"/>
        <s v="Pekoniemi, Mr. Edvard"/>
        <s v="Peltomaki, Mr. Nikolai Johannes"/>
        <s v="Perkin, Mr. John Henry"/>
        <s v="Persson, Mr. Ernst Ulrik"/>
        <s v="Peter, Master. Michael J"/>
        <s v="Peter, Miss. Anna"/>
        <s v="Peter, Mrs. Catherine (Catherine Rizk)"/>
        <s v="Peters, Miss. Katie"/>
        <s v="Petersen, Mr. Marius"/>
        <s v="Petranec, Miss. Matilda"/>
        <s v="Petroff, Mr. Nedelio"/>
        <s v="Petroff, Mr. Pastcho (&quot;Pentcho&quot;)"/>
        <s v="Petterson, Mr. Johan Emil"/>
        <s v="Pettersson, Miss. Ellen Natalia"/>
        <s v="Pickard, Mr. Berk (Berk Trembisky)"/>
        <s v="Plotcharsky, Mr. Vasil"/>
        <s v="Pokrnic, Mr. Mate"/>
        <s v="Pokrnic, Mr. Tome"/>
        <s v="Radeff, Mr. Alexander"/>
        <s v="Rasmussen, Mrs. (Lena Jacobsen Solvang)"/>
        <s v="Razi, Mr. Raihed"/>
        <s v="Reed, Mr. James George"/>
        <s v="Rekic, Mr. Tido"/>
        <s v="Reynolds, Mr. Harold J"/>
        <s v="Rice, Master. Albert"/>
        <s v="Rice, Master. Arthur"/>
        <s v="Rice, Master. Eric"/>
        <s v="Rice, Master. Eugene"/>
        <s v="Rice, Master. George Hugh"/>
        <s v="Rice, Mrs. William (Margaret Norton)"/>
        <s v="Riihivouri, Miss. Susanna Juhantytar &quot;Sanni&quot;"/>
        <s v="Rintamaki, Mr. Matti"/>
        <s v="Riordan, Miss. Johanna &quot;Hannah&quot;"/>
        <s v="Risien, Mr. Samuel Beard"/>
        <s v="Risien, Mrs. Samuel (Emma)"/>
        <s v="Robins, Mr. Alexander A"/>
        <s v="Robins, Mrs. Alexander A (Grace Charity Laury)"/>
        <s v="Rogers, Mr. William John"/>
        <s v="Rommetvedt, Mr. Knud Paust"/>
        <s v="Rosblom, Miss. Salli Helena"/>
        <s v="Rosblom, Mr. Viktor Richard"/>
        <s v="Rosblom, Mrs. Viktor (Helena Wilhelmina)"/>
        <s v="Roth, Miss. Sarah A"/>
        <s v="Rouse, Mr. Richard Henry"/>
        <s v="Rush, Mr. Alfred George John"/>
        <s v="Ryan, Mr. Edward"/>
        <s v="Ryan, Mr. Patrick"/>
        <s v="Saad, Mr. Amin"/>
        <s v="Saad, Mr. Khalil"/>
        <s v="Saade, Mr. Jean Nassr"/>
        <s v="Sadlier, Mr. Matthew"/>
        <s v="Sadowitz, Mr. Harry"/>
        <s v="Saether, Mr. Simon Sivertsen"/>
        <s v="Sage, Master. Thomas Henry"/>
        <s v="Sage, Master. William Henry"/>
        <s v="Sage, Miss. Ada"/>
        <s v="Sage, Miss. Constance Gladys"/>
        <s v="Sage, Miss. Dorothy Edith &quot;Dolly&quot;"/>
        <s v="Sage, Miss. Stella Anna"/>
        <s v="Sage, Mr. Douglas Bullen"/>
        <s v="Sage, Mr. Frederick"/>
        <s v="Sage, Mr. George John Jr"/>
        <s v="Sage, Mr. John George"/>
        <s v="Sage, Mrs. John (Annie Bullen)"/>
        <s v="Salander, Mr. Karl Johan"/>
        <s v="Salkjelsvik, Miss. Anna Kristine"/>
        <s v="Salonen, Mr. Johan Werner"/>
        <s v="Samaan, Mr. Elias"/>
        <s v="Samaan, Mr. Hanna"/>
        <s v="Samaan, Mr. Youssef"/>
        <s v="Sandstrom, Miss. Beatrice Irene"/>
        <s v="Sandstrom, Mrs. Hjalmar (Agnes Charlotta Bengtsson)"/>
        <s v="Sandstrom, Miss. Marguerite Rut"/>
        <s v="Sap, Mr. Julius"/>
        <s v="Saundercock, Mr. William Henry"/>
        <s v="Sawyer, Mr. Frederick Charles"/>
        <s v="Scanlan, Mr. James"/>
        <s v="Sdycoff, Mr. Todor"/>
        <s v="Shaughnessy, Mr. Patrick"/>
        <s v="Sheerlinck, Mr. Jan Baptist"/>
        <s v="Shellard, Mr. Frederick William"/>
        <s v="Shine, Miss. Ellen Natalia"/>
        <s v="Shorney, Mr. Charles Joseph"/>
        <s v="Simmons, Mr. John"/>
        <s v="Sirayanian, Mr. Orsen"/>
        <s v="Sirota, Mr. Maurice"/>
        <s v="Sivic, Mr. Husein"/>
        <s v="Sivola, Mr. Antti Wilhelm"/>
        <s v="Sjoblom, Miss. Anna Sofia"/>
        <s v="Skoog, Master. Harald"/>
        <s v="Skoog, Master. Karl Thorsten"/>
        <s v="Skoog, Miss. Mabel"/>
        <s v="Skoog, Miss. Margit Elizabeth"/>
        <s v="Skoog, Mr. Wilhelm"/>
        <s v="Skoog, Mrs. William (Anna Bernhardina Karlsson)"/>
        <s v="Slabenoff, Mr. Petco"/>
        <s v="Slocovski, Mr. Selman Francis"/>
        <s v="Smiljanic, Mr. Mile"/>
        <s v="Smith, Mr. Thomas"/>
        <s v="Smyth, Miss. Julia"/>
        <s v="Soholt, Mr. Peter Andreas Lauritz Andersen"/>
        <s v="Somerton, Mr. Francis William"/>
        <s v="Spector, Mr. Woolf"/>
        <s v="Spinner, Mr. Henry John"/>
        <s v="Staneff, Mr. Ivan"/>
        <s v="Stankovic, Mr. Ivan"/>
        <s v="Stanley, Miss. Amy Zillah Elsie"/>
        <s v="Stanley, Mr. Edward Roland"/>
        <s v="Storey, Mr. Thomas"/>
        <s v="Stoytcheff, Mr. Ilia"/>
        <s v="Strandberg, Miss. Ida Sofia"/>
        <s v="Stranden, Mr. Juho"/>
        <s v="Strilic, Mr. Ivan"/>
        <s v="Strom, Miss. Telma Matilda"/>
        <s v="Strom, Mrs. Wilhelm (Elna Matilda Persson)"/>
        <s v="Sunderland, Mr. Victor Francis"/>
        <s v="Sundman, Mr. Johan Julian"/>
        <s v="Sutehall, Mr. Henry Jr"/>
        <s v="Svensson, Mr. Johan"/>
        <s v="Svensson, Mr. Johan Cervin"/>
        <s v="Svensson, Mr. Olof"/>
        <s v="Tenglin, Mr. Gunnar Isidor"/>
        <s v="Theobald, Mr. Thomas Leonard"/>
        <s v="Thomas, Master. Assad Alexander"/>
        <s v="Thomas, Mr. Charles P"/>
        <s v="Thomas, Mr. John"/>
        <s v="Thomas, Mr. Tannous"/>
        <s v="Thomas, Mrs. Alexander (Thamine &quot;Thelma&quot;)"/>
        <s v="Thomson, Mr. Alexander Morrison"/>
        <s v="Thorneycroft, Mr. Percival"/>
        <s v="Thorneycroft, Mrs. Percival (Florence Kate White)"/>
        <s v="Tikkanen, Mr. Juho"/>
        <s v="Tobin, Mr. Roger"/>
        <s v="Todoroff, Mr. Lalio"/>
        <s v="Tomlin, Mr. Ernest Portage"/>
        <s v="Torber, Mr. Ernst William"/>
        <s v="Torfa, Mr. Assad"/>
        <s v="Tornquist, Mr. William Henry"/>
        <s v="Toufik, Mr. Nakli"/>
        <s v="Touma, Master. Georges Youssef"/>
        <s v="Touma, Miss. Maria Youssef"/>
        <s v="Touma, Mrs. Darwis (Hanne Youssef Razi)"/>
        <s v="Turcin, Mr. Stjepan"/>
        <s v="Turja, Miss. Anna Sofia"/>
        <s v="Turkula, Mrs. (Hedwig)"/>
        <s v="van Billiard, Master. James William"/>
        <s v="van Billiard, Master. Walter John"/>
        <s v="van Billiard, Mr. Austin Blyler"/>
        <s v="Van Impe, Miss. Catharina"/>
        <s v="Van Impe, Mr. Jean Baptiste"/>
        <s v="Van Impe, Mrs. Jean Baptiste (Rosalie Paula Govaert)"/>
        <s v="van Melkebeke, Mr. Philemon"/>
        <s v="Vande Velde, Mr. Johannes Joseph"/>
        <s v="Vande Walle, Mr. Nestor Cyriel"/>
        <s v="Vanden Steen, Mr. Leo Peter"/>
        <s v="Vander Cruyssen, Mr. Victor"/>
        <s v="Vander Planke, Miss. Augusta Maria"/>
        <s v="Vander Planke, Mr. Julius"/>
        <s v="Vander Planke, Mr. Leo Edmondus"/>
        <s v="Vander Planke, Mrs. Julius (Emelia Maria Vandemoortele)"/>
        <s v="Vartanian, Mr. David"/>
        <s v="Vendel, Mr. Olof Edvin"/>
        <s v="Vestrom, Miss. Hulda Amanda Adolfina"/>
        <s v="Vovk, Mr. Janko"/>
        <s v="Waelens, Mr. Achille"/>
        <s v="Ware, Mr. Frederick"/>
        <s v="Warren, Mr. Charles William"/>
        <s v="Webber, Mr. James"/>
        <s v="Wenzel, Mr. Linhart"/>
        <s v="Whabee, Mrs. George Joseph (Shawneene Abi-Saab)"/>
        <s v="Widegren, Mr. Carl/Charles Peter"/>
        <s v="Wiklund, Mr. Jakob Alfred"/>
        <s v="Wiklund, Mr. Karl Johan"/>
        <s v="Wilkes, Mrs. James (Ellen Needs)"/>
        <s v="Willer, Mr. Aaron (&quot;Abi Weller&quot;)"/>
        <s v="Willey, Mr. Edward"/>
        <s v="Williams, Mr. Howard Hugh &quot;Harry&quot;"/>
        <s v="Williams, Mr. Leslie"/>
        <s v="Windelov, Mr. Einar"/>
        <s v="Wirz, Mr. Albert"/>
        <s v="Wiseman, Mr. Phillippe"/>
        <s v="Wittevrongel, Mr. Camille"/>
        <s v="Yasbeck, Mr. Antoni"/>
        <s v="Yasbeck, Mrs. Antoni (Selini Alexander)"/>
        <s v="Youseff, Mr. Gerious"/>
        <s v="Yousif, Mr. Wazli"/>
        <s v="Yousseff, Mr. Gerious"/>
        <s v="Zabour, Miss. Hileni"/>
        <s v="Zabour, Miss. Thamine"/>
        <s v="Zakarian, Mr. Mapriededer"/>
        <s v="Zakarian, Mr. Ortin"/>
        <s v="Zimmerman, Mr. Leo"/>
      </sharedItems>
    </cacheField>
    <cacheField name="Sex" numFmtId="0">
      <sharedItems count="2">
        <s v="Female"/>
        <s v="Male"/>
      </sharedItems>
    </cacheField>
    <cacheField name="Age" numFmtId="0">
      <sharedItems containsMixedTypes="1" containsNumber="1" minValue="0.16669999999999999" maxValue="80"/>
    </cacheField>
    <cacheField name="Age Brackets" numFmtId="0">
      <sharedItems count="8">
        <s v="19-30"/>
        <s v="18 or less"/>
        <s v="41-50"/>
        <s v="61-70"/>
        <s v="31-40"/>
        <s v="51-60"/>
        <s v="70 or more"/>
        <s v="Unknown"/>
      </sharedItems>
    </cacheField>
    <cacheField name="Siblings and Spouses" numFmtId="0">
      <sharedItems containsSemiMixedTypes="0" containsString="0" containsNumber="1" containsInteger="1" minValue="0" maxValue="8"/>
    </cacheField>
    <cacheField name="Parents and Children" numFmtId="0">
      <sharedItems containsSemiMixedTypes="0" containsString="0" containsNumber="1" containsInteger="1" minValue="0" maxValue="9"/>
    </cacheField>
    <cacheField name="Family Members" numFmtId="0">
      <sharedItems containsSemiMixedTypes="0" containsString="0" containsNumber="1" containsInteger="1" minValue="0" maxValue="10" count="9">
        <n v="0"/>
        <n v="3"/>
        <n v="1"/>
        <n v="2"/>
        <n v="5"/>
        <n v="4"/>
        <n v="6"/>
        <n v="7"/>
        <n v="10"/>
      </sharedItems>
    </cacheField>
    <cacheField name="Fare" numFmtId="164">
      <sharedItems containsString="0" containsBlank="1" containsNumber="1" minValue="0" maxValue="512.32920000000001" count="282">
        <n v="211.33750000000001"/>
        <n v="151.55000000000001"/>
        <n v="26.55"/>
        <n v="77.958299999999994"/>
        <n v="0"/>
        <n v="51.479199999999999"/>
        <n v="49.504199999999997"/>
        <n v="227.52500000000001"/>
        <n v="69.3"/>
        <n v="78.849999999999994"/>
        <n v="30"/>
        <n v="25.925000000000001"/>
        <n v="247.52080000000001"/>
        <n v="76.291700000000006"/>
        <n v="75.241699999999994"/>
        <n v="52.554200000000002"/>
        <n v="221.7792"/>
        <n v="26"/>
        <n v="91.0792"/>
        <n v="135.63329999999999"/>
        <n v="35.5"/>
        <n v="31"/>
        <n v="164.86670000000001"/>
        <n v="262.375"/>
        <n v="55"/>
        <n v="30.5"/>
        <n v="50.495800000000003"/>
        <n v="39.6"/>
        <n v="27.720800000000001"/>
        <n v="134.5"/>
        <n v="26.287500000000001"/>
        <n v="27.445799999999998"/>
        <n v="512.32920000000001"/>
        <n v="5"/>
        <n v="47.1"/>
        <n v="120"/>
        <n v="61.174999999999997"/>
        <n v="53.1"/>
        <n v="86.5"/>
        <n v="29.7"/>
        <n v="136.7792"/>
        <n v="52"/>
        <n v="25.587499999999999"/>
        <n v="83.158299999999997"/>
        <n v="25.7"/>
        <n v="71"/>
        <n v="71.283299999999997"/>
        <n v="57"/>
        <n v="81.8583"/>
        <n v="106.425"/>
        <n v="56.929200000000002"/>
        <n v="78.2667"/>
        <n v="31.679200000000002"/>
        <n v="31.683299999999999"/>
        <n v="110.88330000000001"/>
        <n v="26.387499999999999"/>
        <n v="27.75"/>
        <n v="263"/>
        <n v="133.65"/>
        <n v="49.5"/>
        <n v="79.2"/>
        <n v="38.5"/>
        <n v="211.5"/>
        <n v="59.4"/>
        <n v="89.104200000000006"/>
        <n v="34.654200000000003"/>
        <n v="28.5"/>
        <n v="153.46250000000001"/>
        <n v="63.3583"/>
        <n v="55.441699999999997"/>
        <n v="76.729200000000006"/>
        <n v="42.4"/>
        <n v="83.474999999999994"/>
        <n v="93.5"/>
        <n v="42.5"/>
        <n v="51.862499999999997"/>
        <n v="50"/>
        <n v="57.979199999999999"/>
        <n v="90"/>
        <n v="30.695799999999998"/>
        <n v="80"/>
        <n v="28.712499999999999"/>
        <n v="25.929200000000002"/>
        <n v="39.4"/>
        <n v="45.5"/>
        <n v="146.52080000000001"/>
        <n v="82.1708"/>
        <n v="57.75"/>
        <n v="113.27500000000001"/>
        <n v="26.283300000000001"/>
        <n v="108.9"/>
        <n v="25.741700000000002"/>
        <n v="61.979199999999999"/>
        <n v="66.599999999999994"/>
        <n v="40.125"/>
        <n v="55.9"/>
        <n v="60"/>
        <n v="82.2667"/>
        <n v="32.320799999999998"/>
        <n v="79.650000000000006"/>
        <n v="28.537500000000001"/>
        <n v="33.5"/>
        <n v="34.020800000000001"/>
        <n v="75.25"/>
        <n v="77.287499999999994"/>
        <n v="61.379199999999997"/>
        <n v="35"/>
        <n v="24"/>
        <n v="13"/>
        <n v="11.5"/>
        <n v="10.5"/>
        <n v="12.525"/>
        <n v="39"/>
        <n v="29"/>
        <n v="21"/>
        <n v="13.5"/>
        <n v="26.25"/>
        <n v="36.75"/>
        <n v="73.5"/>
        <n v="31.5"/>
        <n v="23"/>
        <n v="32.5"/>
        <n v="13.8583"/>
        <n v="14.5"/>
        <n v="33"/>
        <n v="65"/>
        <n v="16"/>
        <n v="12.275"/>
        <n v="27"/>
        <n v="15"/>
        <n v="13.791700000000001"/>
        <n v="12.35"/>
        <n v="10.708299999999999"/>
        <n v="41.5792"/>
        <n v="12"/>
        <n v="12.875"/>
        <n v="15.0458"/>
        <n v="37.004199999999997"/>
        <n v="15.5792"/>
        <n v="19.5"/>
        <n v="14"/>
        <n v="9.6875"/>
        <n v="30.070799999999998"/>
        <n v="13.862500000000001"/>
        <n v="15.05"/>
        <n v="12.737500000000001"/>
        <n v="15.033300000000001"/>
        <n v="18.75"/>
        <n v="12.65"/>
        <n v="15.75"/>
        <n v="7.55"/>
        <n v="20.25"/>
        <n v="7.65"/>
        <n v="7.9249999999999998"/>
        <n v="7.2291999999999996"/>
        <n v="7.25"/>
        <n v="8.0500000000000007"/>
        <n v="9.4749999999999996"/>
        <n v="9.35"/>
        <n v="18.787500000000001"/>
        <n v="7.8875000000000002"/>
        <n v="7.05"/>
        <n v="8.3000000000000007"/>
        <n v="22.524999999999999"/>
        <n v="7.8541999999999996"/>
        <n v="31.274999999999999"/>
        <n v="7.7750000000000004"/>
        <n v="7.7957999999999998"/>
        <n v="7.8958000000000004"/>
        <n v="17.8"/>
        <n v="31.387499999999999"/>
        <n v="7.2249999999999996"/>
        <n v="14.458299999999999"/>
        <n v="15.85"/>
        <n v="19.258299999999998"/>
        <n v="14.4542"/>
        <n v="7.8792"/>
        <n v="4.0125000000000002"/>
        <n v="56.495800000000003"/>
        <n v="7.75"/>
        <n v="15.245799999999999"/>
        <n v="15.5"/>
        <n v="16.100000000000001"/>
        <n v="7.7249999999999996"/>
        <n v="7.0457999999999998"/>
        <n v="7.2832999999999997"/>
        <n v="7.8208000000000002"/>
        <n v="6.75"/>
        <n v="8.6624999999999996"/>
        <n v="7.7332999999999998"/>
        <n v="7.4958"/>
        <n v="7.6292"/>
        <n v="15.9"/>
        <n v="8.1583000000000006"/>
        <n v="10.5167"/>
        <n v="10.1708"/>
        <n v="6.95"/>
        <n v="14.4"/>
        <n v="24.15"/>
        <n v="17.399999999999999"/>
        <n v="9.5"/>
        <n v="20.574999999999999"/>
        <n v="12.475"/>
        <n v="13.9"/>
        <n v="6.9749999999999996"/>
        <n v="15.1"/>
        <n v="34.375"/>
        <n v="7.7416999999999998"/>
        <n v="20.524999999999999"/>
        <n v="7.85"/>
        <n v="46.9"/>
        <n v="8.3625000000000007"/>
        <n v="9.8458000000000006"/>
        <n v="8.85"/>
        <n v="19.966699999999999"/>
        <n v="14.1083"/>
        <n v="6.8582999999999998"/>
        <n v="8.9625000000000004"/>
        <n v="12.2875"/>
        <n v="6.45"/>
        <n v="7.0541999999999998"/>
        <n v="8.1125000000000007"/>
        <n v="6.4958"/>
        <n v="8.6541999999999994"/>
        <n v="11.1333"/>
        <n v="23.45"/>
        <n v="9.8249999999999993"/>
        <n v="7.125"/>
        <n v="8.4332999999999991"/>
        <n v="7.5208000000000004"/>
        <n v="13.416700000000001"/>
        <n v="7.8292000000000002"/>
        <n v="7.7374999999999998"/>
        <n v="22.024999999999999"/>
        <n v="12.183299999999999"/>
        <n v="9.5875000000000004"/>
        <n v="9.4832999999999998"/>
        <n v="25.466699999999999"/>
        <n v="6.4375"/>
        <n v="15.55"/>
        <n v="7.5792000000000002"/>
        <n v="7.1417000000000002"/>
        <n v="23.25"/>
        <n v="7.7874999999999996"/>
        <n v="8.0291999999999994"/>
        <n v="8.4582999999999995"/>
        <n v="15.7417"/>
        <n v="11.2417"/>
        <n v="7.8"/>
        <n v="6.2374999999999998"/>
        <n v="9.2249999999999996"/>
        <n v="3.1707999999999998"/>
        <n v="8.4041999999999994"/>
        <n v="7.3125"/>
        <n v="9.2166999999999994"/>
        <n v="8.6832999999999991"/>
        <n v="21.074999999999999"/>
        <n v="39.6875"/>
        <n v="8.7125000000000004"/>
        <n v="13.775"/>
        <n v="7"/>
        <n v="22.3583"/>
        <n v="8.1374999999999993"/>
        <n v="29.125"/>
        <n v="7.7207999999999997"/>
        <n v="20.212499999999999"/>
        <n v="7.7291999999999996"/>
        <n v="7.5750000000000002"/>
        <n v="69.55"/>
        <n v="9.3249999999999993"/>
        <n v="21.679200000000002"/>
        <n v="16.7"/>
        <n v="7.7792000000000003"/>
        <n v="27.9"/>
        <m/>
        <n v="9.8375000000000004"/>
        <n v="10.4625"/>
        <n v="8.5167000000000002"/>
        <n v="9.8416999999999994"/>
        <n v="9"/>
        <n v="18"/>
        <n v="7.875"/>
      </sharedItems>
    </cacheField>
    <cacheField name="Fare Brackets" numFmtId="164">
      <sharedItems count="7">
        <s v="£200 or more"/>
        <s v="£151-£200"/>
        <s v="£26-£50"/>
        <s v="£51-£100"/>
        <s v="Less than £10"/>
        <s v="£10-£25"/>
        <s v="£101-£150"/>
      </sharedItems>
    </cacheField>
    <cacheField name="Port of Embarkation" numFmtId="49">
      <sharedItems containsBlank="1" count="5">
        <s v="Southampton"/>
        <s v="Cherbourg"/>
        <s v="Unknown"/>
        <s v="Queenstown"/>
        <m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09">
  <r>
    <x v="0"/>
    <x v="0"/>
    <x v="0"/>
    <x v="0"/>
    <n v="29"/>
    <x v="0"/>
    <n v="0"/>
    <n v="0"/>
    <x v="0"/>
    <x v="0"/>
    <x v="0"/>
    <x v="0"/>
  </r>
  <r>
    <x v="0"/>
    <x v="0"/>
    <x v="1"/>
    <x v="1"/>
    <n v="0.91669999999999996"/>
    <x v="1"/>
    <n v="1"/>
    <n v="2"/>
    <x v="1"/>
    <x v="1"/>
    <x v="1"/>
    <x v="0"/>
  </r>
  <r>
    <x v="0"/>
    <x v="1"/>
    <x v="2"/>
    <x v="0"/>
    <n v="2"/>
    <x v="1"/>
    <n v="1"/>
    <n v="2"/>
    <x v="1"/>
    <x v="1"/>
    <x v="1"/>
    <x v="0"/>
  </r>
  <r>
    <x v="0"/>
    <x v="1"/>
    <x v="3"/>
    <x v="1"/>
    <n v="30"/>
    <x v="0"/>
    <n v="1"/>
    <n v="2"/>
    <x v="1"/>
    <x v="1"/>
    <x v="1"/>
    <x v="0"/>
  </r>
  <r>
    <x v="0"/>
    <x v="1"/>
    <x v="4"/>
    <x v="0"/>
    <n v="25"/>
    <x v="0"/>
    <n v="1"/>
    <n v="2"/>
    <x v="1"/>
    <x v="1"/>
    <x v="1"/>
    <x v="0"/>
  </r>
  <r>
    <x v="0"/>
    <x v="0"/>
    <x v="5"/>
    <x v="1"/>
    <n v="48"/>
    <x v="2"/>
    <n v="0"/>
    <n v="0"/>
    <x v="0"/>
    <x v="2"/>
    <x v="2"/>
    <x v="0"/>
  </r>
  <r>
    <x v="0"/>
    <x v="0"/>
    <x v="6"/>
    <x v="0"/>
    <n v="63"/>
    <x v="3"/>
    <n v="1"/>
    <n v="0"/>
    <x v="2"/>
    <x v="3"/>
    <x v="3"/>
    <x v="0"/>
  </r>
  <r>
    <x v="0"/>
    <x v="1"/>
    <x v="7"/>
    <x v="1"/>
    <n v="39"/>
    <x v="4"/>
    <n v="0"/>
    <n v="0"/>
    <x v="0"/>
    <x v="4"/>
    <x v="4"/>
    <x v="0"/>
  </r>
  <r>
    <x v="0"/>
    <x v="0"/>
    <x v="8"/>
    <x v="0"/>
    <n v="53"/>
    <x v="5"/>
    <n v="2"/>
    <n v="0"/>
    <x v="3"/>
    <x v="5"/>
    <x v="3"/>
    <x v="0"/>
  </r>
  <r>
    <x v="0"/>
    <x v="1"/>
    <x v="9"/>
    <x v="1"/>
    <n v="71"/>
    <x v="6"/>
    <n v="0"/>
    <n v="0"/>
    <x v="0"/>
    <x v="6"/>
    <x v="2"/>
    <x v="1"/>
  </r>
  <r>
    <x v="0"/>
    <x v="1"/>
    <x v="10"/>
    <x v="1"/>
    <n v="47"/>
    <x v="2"/>
    <n v="1"/>
    <n v="0"/>
    <x v="2"/>
    <x v="7"/>
    <x v="0"/>
    <x v="1"/>
  </r>
  <r>
    <x v="0"/>
    <x v="0"/>
    <x v="11"/>
    <x v="0"/>
    <n v="18"/>
    <x v="1"/>
    <n v="1"/>
    <n v="0"/>
    <x v="2"/>
    <x v="7"/>
    <x v="0"/>
    <x v="1"/>
  </r>
  <r>
    <x v="0"/>
    <x v="0"/>
    <x v="12"/>
    <x v="0"/>
    <n v="24"/>
    <x v="0"/>
    <n v="0"/>
    <n v="0"/>
    <x v="0"/>
    <x v="8"/>
    <x v="3"/>
    <x v="1"/>
  </r>
  <r>
    <x v="0"/>
    <x v="0"/>
    <x v="13"/>
    <x v="0"/>
    <n v="26"/>
    <x v="0"/>
    <n v="0"/>
    <n v="0"/>
    <x v="0"/>
    <x v="9"/>
    <x v="3"/>
    <x v="0"/>
  </r>
  <r>
    <x v="0"/>
    <x v="0"/>
    <x v="14"/>
    <x v="1"/>
    <n v="80"/>
    <x v="6"/>
    <n v="0"/>
    <n v="0"/>
    <x v="0"/>
    <x v="10"/>
    <x v="2"/>
    <x v="0"/>
  </r>
  <r>
    <x v="0"/>
    <x v="1"/>
    <x v="15"/>
    <x v="1"/>
    <s v="Unknown"/>
    <x v="7"/>
    <n v="0"/>
    <n v="0"/>
    <x v="0"/>
    <x v="11"/>
    <x v="5"/>
    <x v="0"/>
  </r>
  <r>
    <x v="0"/>
    <x v="1"/>
    <x v="16"/>
    <x v="1"/>
    <n v="24"/>
    <x v="0"/>
    <n v="0"/>
    <n v="1"/>
    <x v="2"/>
    <x v="12"/>
    <x v="0"/>
    <x v="1"/>
  </r>
  <r>
    <x v="0"/>
    <x v="0"/>
    <x v="17"/>
    <x v="0"/>
    <n v="50"/>
    <x v="2"/>
    <n v="0"/>
    <n v="1"/>
    <x v="2"/>
    <x v="12"/>
    <x v="0"/>
    <x v="1"/>
  </r>
  <r>
    <x v="0"/>
    <x v="0"/>
    <x v="18"/>
    <x v="0"/>
    <n v="32"/>
    <x v="4"/>
    <n v="0"/>
    <n v="0"/>
    <x v="0"/>
    <x v="13"/>
    <x v="3"/>
    <x v="1"/>
  </r>
  <r>
    <x v="0"/>
    <x v="1"/>
    <x v="19"/>
    <x v="1"/>
    <n v="36"/>
    <x v="4"/>
    <n v="0"/>
    <n v="0"/>
    <x v="0"/>
    <x v="14"/>
    <x v="3"/>
    <x v="1"/>
  </r>
  <r>
    <x v="0"/>
    <x v="0"/>
    <x v="20"/>
    <x v="1"/>
    <n v="37"/>
    <x v="4"/>
    <n v="1"/>
    <n v="1"/>
    <x v="3"/>
    <x v="15"/>
    <x v="3"/>
    <x v="0"/>
  </r>
  <r>
    <x v="0"/>
    <x v="0"/>
    <x v="21"/>
    <x v="0"/>
    <n v="47"/>
    <x v="2"/>
    <n v="1"/>
    <n v="1"/>
    <x v="3"/>
    <x v="15"/>
    <x v="3"/>
    <x v="0"/>
  </r>
  <r>
    <x v="0"/>
    <x v="0"/>
    <x v="22"/>
    <x v="1"/>
    <n v="26"/>
    <x v="0"/>
    <n v="0"/>
    <n v="0"/>
    <x v="0"/>
    <x v="10"/>
    <x v="2"/>
    <x v="1"/>
  </r>
  <r>
    <x v="0"/>
    <x v="0"/>
    <x v="23"/>
    <x v="0"/>
    <n v="42"/>
    <x v="2"/>
    <n v="0"/>
    <n v="0"/>
    <x v="0"/>
    <x v="7"/>
    <x v="0"/>
    <x v="1"/>
  </r>
  <r>
    <x v="0"/>
    <x v="0"/>
    <x v="24"/>
    <x v="0"/>
    <n v="29"/>
    <x v="0"/>
    <n v="0"/>
    <n v="0"/>
    <x v="0"/>
    <x v="16"/>
    <x v="0"/>
    <x v="0"/>
  </r>
  <r>
    <x v="0"/>
    <x v="1"/>
    <x v="25"/>
    <x v="1"/>
    <n v="25"/>
    <x v="0"/>
    <n v="0"/>
    <n v="0"/>
    <x v="0"/>
    <x v="17"/>
    <x v="2"/>
    <x v="1"/>
  </r>
  <r>
    <x v="0"/>
    <x v="0"/>
    <x v="26"/>
    <x v="1"/>
    <n v="25"/>
    <x v="0"/>
    <n v="1"/>
    <n v="0"/>
    <x v="2"/>
    <x v="18"/>
    <x v="3"/>
    <x v="1"/>
  </r>
  <r>
    <x v="0"/>
    <x v="0"/>
    <x v="27"/>
    <x v="0"/>
    <n v="19"/>
    <x v="0"/>
    <n v="1"/>
    <n v="0"/>
    <x v="2"/>
    <x v="18"/>
    <x v="3"/>
    <x v="1"/>
  </r>
  <r>
    <x v="0"/>
    <x v="0"/>
    <x v="28"/>
    <x v="0"/>
    <n v="35"/>
    <x v="4"/>
    <n v="0"/>
    <n v="0"/>
    <x v="0"/>
    <x v="19"/>
    <x v="6"/>
    <x v="0"/>
  </r>
  <r>
    <x v="0"/>
    <x v="0"/>
    <x v="29"/>
    <x v="1"/>
    <n v="28"/>
    <x v="0"/>
    <n v="0"/>
    <n v="0"/>
    <x v="0"/>
    <x v="2"/>
    <x v="2"/>
    <x v="0"/>
  </r>
  <r>
    <x v="0"/>
    <x v="1"/>
    <x v="30"/>
    <x v="1"/>
    <n v="45"/>
    <x v="2"/>
    <n v="0"/>
    <n v="0"/>
    <x v="0"/>
    <x v="20"/>
    <x v="2"/>
    <x v="0"/>
  </r>
  <r>
    <x v="0"/>
    <x v="0"/>
    <x v="31"/>
    <x v="1"/>
    <n v="40"/>
    <x v="4"/>
    <n v="0"/>
    <n v="0"/>
    <x v="0"/>
    <x v="21"/>
    <x v="2"/>
    <x v="1"/>
  </r>
  <r>
    <x v="0"/>
    <x v="0"/>
    <x v="32"/>
    <x v="0"/>
    <n v="30"/>
    <x v="0"/>
    <n v="0"/>
    <n v="0"/>
    <x v="0"/>
    <x v="22"/>
    <x v="1"/>
    <x v="0"/>
  </r>
  <r>
    <x v="0"/>
    <x v="0"/>
    <x v="33"/>
    <x v="0"/>
    <n v="58"/>
    <x v="5"/>
    <n v="0"/>
    <n v="0"/>
    <x v="0"/>
    <x v="2"/>
    <x v="2"/>
    <x v="0"/>
  </r>
  <r>
    <x v="0"/>
    <x v="1"/>
    <x v="34"/>
    <x v="1"/>
    <n v="42"/>
    <x v="2"/>
    <n v="0"/>
    <n v="0"/>
    <x v="0"/>
    <x v="2"/>
    <x v="2"/>
    <x v="0"/>
  </r>
  <r>
    <x v="0"/>
    <x v="0"/>
    <x v="35"/>
    <x v="0"/>
    <n v="45"/>
    <x v="2"/>
    <n v="0"/>
    <n v="0"/>
    <x v="0"/>
    <x v="23"/>
    <x v="0"/>
    <x v="1"/>
  </r>
  <r>
    <x v="0"/>
    <x v="0"/>
    <x v="36"/>
    <x v="0"/>
    <n v="22"/>
    <x v="0"/>
    <n v="0"/>
    <n v="1"/>
    <x v="2"/>
    <x v="24"/>
    <x v="3"/>
    <x v="0"/>
  </r>
  <r>
    <x v="0"/>
    <x v="0"/>
    <x v="37"/>
    <x v="1"/>
    <s v="Unknown"/>
    <x v="7"/>
    <n v="0"/>
    <n v="0"/>
    <x v="0"/>
    <x v="2"/>
    <x v="2"/>
    <x v="0"/>
  </r>
  <r>
    <x v="0"/>
    <x v="1"/>
    <x v="38"/>
    <x v="1"/>
    <n v="41"/>
    <x v="2"/>
    <n v="0"/>
    <n v="0"/>
    <x v="0"/>
    <x v="25"/>
    <x v="2"/>
    <x v="0"/>
  </r>
  <r>
    <x v="0"/>
    <x v="1"/>
    <x v="39"/>
    <x v="1"/>
    <n v="48"/>
    <x v="2"/>
    <n v="0"/>
    <n v="0"/>
    <x v="0"/>
    <x v="26"/>
    <x v="2"/>
    <x v="1"/>
  </r>
  <r>
    <x v="0"/>
    <x v="1"/>
    <x v="40"/>
    <x v="1"/>
    <s v="Unknown"/>
    <x v="7"/>
    <n v="0"/>
    <n v="0"/>
    <x v="0"/>
    <x v="27"/>
    <x v="2"/>
    <x v="1"/>
  </r>
  <r>
    <x v="0"/>
    <x v="0"/>
    <x v="41"/>
    <x v="0"/>
    <n v="44"/>
    <x v="2"/>
    <n v="0"/>
    <n v="0"/>
    <x v="0"/>
    <x v="28"/>
    <x v="2"/>
    <x v="1"/>
  </r>
  <r>
    <x v="0"/>
    <x v="0"/>
    <x v="42"/>
    <x v="0"/>
    <n v="59"/>
    <x v="5"/>
    <n v="2"/>
    <n v="0"/>
    <x v="3"/>
    <x v="5"/>
    <x v="3"/>
    <x v="0"/>
  </r>
  <r>
    <x v="0"/>
    <x v="0"/>
    <x v="43"/>
    <x v="0"/>
    <n v="60"/>
    <x v="5"/>
    <n v="0"/>
    <n v="0"/>
    <x v="0"/>
    <x v="13"/>
    <x v="3"/>
    <x v="1"/>
  </r>
  <r>
    <x v="0"/>
    <x v="0"/>
    <x v="44"/>
    <x v="0"/>
    <n v="41"/>
    <x v="2"/>
    <n v="0"/>
    <n v="0"/>
    <x v="0"/>
    <x v="29"/>
    <x v="6"/>
    <x v="1"/>
  </r>
  <r>
    <x v="0"/>
    <x v="1"/>
    <x v="45"/>
    <x v="1"/>
    <n v="45"/>
    <x v="2"/>
    <n v="0"/>
    <n v="0"/>
    <x v="0"/>
    <x v="2"/>
    <x v="2"/>
    <x v="0"/>
  </r>
  <r>
    <x v="0"/>
    <x v="1"/>
    <x v="46"/>
    <x v="1"/>
    <s v="Unknown"/>
    <x v="7"/>
    <n v="0"/>
    <n v="0"/>
    <x v="0"/>
    <x v="21"/>
    <x v="2"/>
    <x v="0"/>
  </r>
  <r>
    <x v="0"/>
    <x v="0"/>
    <x v="47"/>
    <x v="1"/>
    <n v="42"/>
    <x v="2"/>
    <n v="0"/>
    <n v="0"/>
    <x v="0"/>
    <x v="30"/>
    <x v="2"/>
    <x v="0"/>
  </r>
  <r>
    <x v="0"/>
    <x v="0"/>
    <x v="48"/>
    <x v="0"/>
    <n v="53"/>
    <x v="5"/>
    <n v="0"/>
    <n v="0"/>
    <x v="0"/>
    <x v="31"/>
    <x v="2"/>
    <x v="1"/>
  </r>
  <r>
    <x v="0"/>
    <x v="0"/>
    <x v="49"/>
    <x v="1"/>
    <n v="36"/>
    <x v="4"/>
    <n v="0"/>
    <n v="1"/>
    <x v="2"/>
    <x v="32"/>
    <x v="0"/>
    <x v="1"/>
  </r>
  <r>
    <x v="0"/>
    <x v="0"/>
    <x v="50"/>
    <x v="0"/>
    <n v="58"/>
    <x v="5"/>
    <n v="0"/>
    <n v="1"/>
    <x v="2"/>
    <x v="32"/>
    <x v="0"/>
    <x v="1"/>
  </r>
  <r>
    <x v="0"/>
    <x v="1"/>
    <x v="51"/>
    <x v="1"/>
    <n v="33"/>
    <x v="4"/>
    <n v="0"/>
    <n v="0"/>
    <x v="0"/>
    <x v="33"/>
    <x v="4"/>
    <x v="0"/>
  </r>
  <r>
    <x v="0"/>
    <x v="1"/>
    <x v="52"/>
    <x v="1"/>
    <n v="28"/>
    <x v="0"/>
    <n v="0"/>
    <n v="0"/>
    <x v="0"/>
    <x v="34"/>
    <x v="2"/>
    <x v="0"/>
  </r>
  <r>
    <x v="0"/>
    <x v="1"/>
    <x v="53"/>
    <x v="1"/>
    <n v="17"/>
    <x v="1"/>
    <n v="0"/>
    <n v="0"/>
    <x v="0"/>
    <x v="34"/>
    <x v="2"/>
    <x v="0"/>
  </r>
  <r>
    <x v="0"/>
    <x v="0"/>
    <x v="54"/>
    <x v="1"/>
    <n v="11"/>
    <x v="1"/>
    <n v="1"/>
    <n v="2"/>
    <x v="1"/>
    <x v="35"/>
    <x v="6"/>
    <x v="0"/>
  </r>
  <r>
    <x v="0"/>
    <x v="0"/>
    <x v="55"/>
    <x v="0"/>
    <n v="14"/>
    <x v="1"/>
    <n v="1"/>
    <n v="2"/>
    <x v="1"/>
    <x v="35"/>
    <x v="6"/>
    <x v="0"/>
  </r>
  <r>
    <x v="0"/>
    <x v="0"/>
    <x v="56"/>
    <x v="1"/>
    <n v="36"/>
    <x v="4"/>
    <n v="1"/>
    <n v="2"/>
    <x v="1"/>
    <x v="35"/>
    <x v="6"/>
    <x v="0"/>
  </r>
  <r>
    <x v="0"/>
    <x v="0"/>
    <x v="57"/>
    <x v="0"/>
    <n v="36"/>
    <x v="4"/>
    <n v="1"/>
    <n v="2"/>
    <x v="1"/>
    <x v="35"/>
    <x v="6"/>
    <x v="0"/>
  </r>
  <r>
    <x v="0"/>
    <x v="1"/>
    <x v="58"/>
    <x v="1"/>
    <n v="49"/>
    <x v="2"/>
    <n v="0"/>
    <n v="0"/>
    <x v="0"/>
    <x v="17"/>
    <x v="2"/>
    <x v="0"/>
  </r>
  <r>
    <x v="0"/>
    <x v="0"/>
    <x v="59"/>
    <x v="0"/>
    <s v="Unknown"/>
    <x v="7"/>
    <n v="0"/>
    <n v="0"/>
    <x v="0"/>
    <x v="28"/>
    <x v="2"/>
    <x v="1"/>
  </r>
  <r>
    <x v="0"/>
    <x v="1"/>
    <x v="60"/>
    <x v="1"/>
    <n v="36"/>
    <x v="4"/>
    <n v="1"/>
    <n v="0"/>
    <x v="2"/>
    <x v="9"/>
    <x v="3"/>
    <x v="0"/>
  </r>
  <r>
    <x v="0"/>
    <x v="0"/>
    <x v="61"/>
    <x v="0"/>
    <n v="76"/>
    <x v="6"/>
    <n v="1"/>
    <n v="0"/>
    <x v="2"/>
    <x v="9"/>
    <x v="3"/>
    <x v="0"/>
  </r>
  <r>
    <x v="0"/>
    <x v="1"/>
    <x v="62"/>
    <x v="1"/>
    <n v="46"/>
    <x v="2"/>
    <n v="1"/>
    <n v="0"/>
    <x v="2"/>
    <x v="36"/>
    <x v="3"/>
    <x v="0"/>
  </r>
  <r>
    <x v="0"/>
    <x v="0"/>
    <x v="63"/>
    <x v="0"/>
    <n v="47"/>
    <x v="2"/>
    <n v="1"/>
    <n v="0"/>
    <x v="2"/>
    <x v="36"/>
    <x v="3"/>
    <x v="0"/>
  </r>
  <r>
    <x v="0"/>
    <x v="0"/>
    <x v="64"/>
    <x v="1"/>
    <n v="27"/>
    <x v="0"/>
    <n v="1"/>
    <n v="0"/>
    <x v="2"/>
    <x v="37"/>
    <x v="3"/>
    <x v="0"/>
  </r>
  <r>
    <x v="0"/>
    <x v="0"/>
    <x v="65"/>
    <x v="0"/>
    <n v="33"/>
    <x v="4"/>
    <n v="1"/>
    <n v="0"/>
    <x v="2"/>
    <x v="37"/>
    <x v="3"/>
    <x v="0"/>
  </r>
  <r>
    <x v="0"/>
    <x v="0"/>
    <x v="66"/>
    <x v="0"/>
    <n v="36"/>
    <x v="4"/>
    <n v="0"/>
    <n v="0"/>
    <x v="0"/>
    <x v="23"/>
    <x v="0"/>
    <x v="1"/>
  </r>
  <r>
    <x v="0"/>
    <x v="0"/>
    <x v="67"/>
    <x v="0"/>
    <n v="30"/>
    <x v="0"/>
    <n v="0"/>
    <n v="0"/>
    <x v="0"/>
    <x v="38"/>
    <x v="3"/>
    <x v="0"/>
  </r>
  <r>
    <x v="0"/>
    <x v="0"/>
    <x v="68"/>
    <x v="1"/>
    <n v="45"/>
    <x v="2"/>
    <n v="0"/>
    <n v="0"/>
    <x v="0"/>
    <x v="39"/>
    <x v="2"/>
    <x v="1"/>
  </r>
  <r>
    <x v="0"/>
    <x v="0"/>
    <x v="69"/>
    <x v="0"/>
    <s v="Unknown"/>
    <x v="7"/>
    <n v="0"/>
    <n v="1"/>
    <x v="2"/>
    <x v="24"/>
    <x v="3"/>
    <x v="0"/>
  </r>
  <r>
    <x v="0"/>
    <x v="1"/>
    <x v="70"/>
    <x v="1"/>
    <s v="Unknown"/>
    <x v="7"/>
    <n v="0"/>
    <n v="0"/>
    <x v="0"/>
    <x v="4"/>
    <x v="4"/>
    <x v="0"/>
  </r>
  <r>
    <x v="0"/>
    <x v="1"/>
    <x v="71"/>
    <x v="1"/>
    <n v="27"/>
    <x v="0"/>
    <n v="1"/>
    <n v="0"/>
    <x v="2"/>
    <x v="40"/>
    <x v="6"/>
    <x v="1"/>
  </r>
  <r>
    <x v="0"/>
    <x v="0"/>
    <x v="72"/>
    <x v="0"/>
    <n v="26"/>
    <x v="0"/>
    <n v="1"/>
    <n v="0"/>
    <x v="2"/>
    <x v="40"/>
    <x v="6"/>
    <x v="1"/>
  </r>
  <r>
    <x v="0"/>
    <x v="0"/>
    <x v="73"/>
    <x v="0"/>
    <n v="22"/>
    <x v="0"/>
    <n v="0"/>
    <n v="0"/>
    <x v="0"/>
    <x v="1"/>
    <x v="1"/>
    <x v="0"/>
  </r>
  <r>
    <x v="0"/>
    <x v="1"/>
    <x v="74"/>
    <x v="1"/>
    <s v="Unknown"/>
    <x v="7"/>
    <n v="0"/>
    <n v="0"/>
    <x v="0"/>
    <x v="41"/>
    <x v="3"/>
    <x v="0"/>
  </r>
  <r>
    <x v="0"/>
    <x v="1"/>
    <x v="75"/>
    <x v="1"/>
    <n v="47"/>
    <x v="2"/>
    <n v="0"/>
    <n v="0"/>
    <x v="0"/>
    <x v="42"/>
    <x v="5"/>
    <x v="0"/>
  </r>
  <r>
    <x v="0"/>
    <x v="0"/>
    <x v="76"/>
    <x v="0"/>
    <n v="39"/>
    <x v="4"/>
    <n v="1"/>
    <n v="1"/>
    <x v="3"/>
    <x v="43"/>
    <x v="3"/>
    <x v="1"/>
  </r>
  <r>
    <x v="0"/>
    <x v="1"/>
    <x v="77"/>
    <x v="1"/>
    <n v="37"/>
    <x v="4"/>
    <n v="1"/>
    <n v="1"/>
    <x v="3"/>
    <x v="43"/>
    <x v="3"/>
    <x v="1"/>
  </r>
  <r>
    <x v="0"/>
    <x v="0"/>
    <x v="78"/>
    <x v="0"/>
    <n v="64"/>
    <x v="3"/>
    <n v="0"/>
    <n v="2"/>
    <x v="3"/>
    <x v="43"/>
    <x v="3"/>
    <x v="1"/>
  </r>
  <r>
    <x v="0"/>
    <x v="0"/>
    <x v="79"/>
    <x v="0"/>
    <n v="55"/>
    <x v="5"/>
    <n v="2"/>
    <n v="0"/>
    <x v="3"/>
    <x v="44"/>
    <x v="5"/>
    <x v="0"/>
  </r>
  <r>
    <x v="0"/>
    <x v="1"/>
    <x v="80"/>
    <x v="1"/>
    <s v="Unknown"/>
    <x v="7"/>
    <n v="0"/>
    <n v="0"/>
    <x v="0"/>
    <x v="2"/>
    <x v="2"/>
    <x v="0"/>
  </r>
  <r>
    <x v="0"/>
    <x v="1"/>
    <x v="81"/>
    <x v="1"/>
    <n v="70"/>
    <x v="6"/>
    <n v="1"/>
    <n v="1"/>
    <x v="3"/>
    <x v="45"/>
    <x v="3"/>
    <x v="0"/>
  </r>
  <r>
    <x v="0"/>
    <x v="0"/>
    <x v="82"/>
    <x v="0"/>
    <n v="36"/>
    <x v="4"/>
    <n v="0"/>
    <n v="2"/>
    <x v="3"/>
    <x v="45"/>
    <x v="3"/>
    <x v="0"/>
  </r>
  <r>
    <x v="0"/>
    <x v="0"/>
    <x v="83"/>
    <x v="0"/>
    <n v="64"/>
    <x v="3"/>
    <n v="1"/>
    <n v="1"/>
    <x v="3"/>
    <x v="2"/>
    <x v="2"/>
    <x v="0"/>
  </r>
  <r>
    <x v="0"/>
    <x v="1"/>
    <x v="84"/>
    <x v="1"/>
    <n v="39"/>
    <x v="4"/>
    <n v="1"/>
    <n v="0"/>
    <x v="2"/>
    <x v="46"/>
    <x v="3"/>
    <x v="1"/>
  </r>
  <r>
    <x v="0"/>
    <x v="0"/>
    <x v="85"/>
    <x v="0"/>
    <n v="38"/>
    <x v="4"/>
    <n v="1"/>
    <n v="0"/>
    <x v="2"/>
    <x v="46"/>
    <x v="3"/>
    <x v="1"/>
  </r>
  <r>
    <x v="0"/>
    <x v="0"/>
    <x v="86"/>
    <x v="1"/>
    <n v="51"/>
    <x v="5"/>
    <n v="0"/>
    <n v="0"/>
    <x v="0"/>
    <x v="2"/>
    <x v="2"/>
    <x v="0"/>
  </r>
  <r>
    <x v="0"/>
    <x v="0"/>
    <x v="87"/>
    <x v="1"/>
    <n v="27"/>
    <x v="0"/>
    <n v="0"/>
    <n v="0"/>
    <x v="0"/>
    <x v="25"/>
    <x v="2"/>
    <x v="0"/>
  </r>
  <r>
    <x v="0"/>
    <x v="0"/>
    <x v="88"/>
    <x v="0"/>
    <n v="33"/>
    <x v="4"/>
    <n v="0"/>
    <n v="0"/>
    <x v="0"/>
    <x v="1"/>
    <x v="1"/>
    <x v="0"/>
  </r>
  <r>
    <x v="0"/>
    <x v="1"/>
    <x v="89"/>
    <x v="1"/>
    <n v="31"/>
    <x v="4"/>
    <n v="1"/>
    <n v="0"/>
    <x v="2"/>
    <x v="41"/>
    <x v="3"/>
    <x v="0"/>
  </r>
  <r>
    <x v="0"/>
    <x v="0"/>
    <x v="90"/>
    <x v="0"/>
    <n v="27"/>
    <x v="0"/>
    <n v="1"/>
    <n v="2"/>
    <x v="1"/>
    <x v="41"/>
    <x v="3"/>
    <x v="0"/>
  </r>
  <r>
    <x v="0"/>
    <x v="0"/>
    <x v="91"/>
    <x v="1"/>
    <n v="31"/>
    <x v="4"/>
    <n v="1"/>
    <n v="0"/>
    <x v="2"/>
    <x v="47"/>
    <x v="3"/>
    <x v="0"/>
  </r>
  <r>
    <x v="0"/>
    <x v="0"/>
    <x v="92"/>
    <x v="0"/>
    <n v="17"/>
    <x v="1"/>
    <n v="1"/>
    <n v="0"/>
    <x v="2"/>
    <x v="47"/>
    <x v="3"/>
    <x v="0"/>
  </r>
  <r>
    <x v="0"/>
    <x v="0"/>
    <x v="93"/>
    <x v="1"/>
    <n v="53"/>
    <x v="5"/>
    <n v="1"/>
    <n v="1"/>
    <x v="3"/>
    <x v="48"/>
    <x v="3"/>
    <x v="0"/>
  </r>
  <r>
    <x v="0"/>
    <x v="0"/>
    <x v="94"/>
    <x v="1"/>
    <n v="4"/>
    <x v="1"/>
    <n v="0"/>
    <n v="2"/>
    <x v="3"/>
    <x v="48"/>
    <x v="3"/>
    <x v="0"/>
  </r>
  <r>
    <x v="0"/>
    <x v="0"/>
    <x v="95"/>
    <x v="0"/>
    <n v="54"/>
    <x v="5"/>
    <n v="1"/>
    <n v="1"/>
    <x v="3"/>
    <x v="48"/>
    <x v="3"/>
    <x v="0"/>
  </r>
  <r>
    <x v="0"/>
    <x v="1"/>
    <x v="96"/>
    <x v="1"/>
    <n v="50"/>
    <x v="2"/>
    <n v="1"/>
    <n v="0"/>
    <x v="2"/>
    <x v="49"/>
    <x v="6"/>
    <x v="1"/>
  </r>
  <r>
    <x v="0"/>
    <x v="0"/>
    <x v="97"/>
    <x v="0"/>
    <n v="27"/>
    <x v="0"/>
    <n v="1"/>
    <n v="1"/>
    <x v="3"/>
    <x v="12"/>
    <x v="0"/>
    <x v="1"/>
  </r>
  <r>
    <x v="0"/>
    <x v="0"/>
    <x v="98"/>
    <x v="0"/>
    <n v="48"/>
    <x v="2"/>
    <n v="1"/>
    <n v="0"/>
    <x v="2"/>
    <x v="49"/>
    <x v="6"/>
    <x v="1"/>
  </r>
  <r>
    <x v="0"/>
    <x v="0"/>
    <x v="99"/>
    <x v="0"/>
    <n v="48"/>
    <x v="2"/>
    <n v="1"/>
    <n v="0"/>
    <x v="2"/>
    <x v="27"/>
    <x v="2"/>
    <x v="1"/>
  </r>
  <r>
    <x v="0"/>
    <x v="0"/>
    <x v="100"/>
    <x v="1"/>
    <n v="49"/>
    <x v="2"/>
    <n v="1"/>
    <n v="0"/>
    <x v="2"/>
    <x v="50"/>
    <x v="3"/>
    <x v="1"/>
  </r>
  <r>
    <x v="0"/>
    <x v="1"/>
    <x v="101"/>
    <x v="1"/>
    <n v="39"/>
    <x v="4"/>
    <n v="0"/>
    <n v="0"/>
    <x v="0"/>
    <x v="39"/>
    <x v="2"/>
    <x v="1"/>
  </r>
  <r>
    <x v="0"/>
    <x v="0"/>
    <x v="102"/>
    <x v="0"/>
    <n v="23"/>
    <x v="0"/>
    <n v="0"/>
    <n v="1"/>
    <x v="2"/>
    <x v="43"/>
    <x v="3"/>
    <x v="1"/>
  </r>
  <r>
    <x v="0"/>
    <x v="0"/>
    <x v="103"/>
    <x v="0"/>
    <n v="38"/>
    <x v="4"/>
    <n v="0"/>
    <n v="0"/>
    <x v="0"/>
    <x v="7"/>
    <x v="0"/>
    <x v="1"/>
  </r>
  <r>
    <x v="0"/>
    <x v="0"/>
    <x v="104"/>
    <x v="0"/>
    <n v="54"/>
    <x v="5"/>
    <n v="1"/>
    <n v="0"/>
    <x v="2"/>
    <x v="51"/>
    <x v="3"/>
    <x v="1"/>
  </r>
  <r>
    <x v="0"/>
    <x v="1"/>
    <x v="105"/>
    <x v="0"/>
    <n v="36"/>
    <x v="4"/>
    <n v="0"/>
    <n v="0"/>
    <x v="0"/>
    <x v="52"/>
    <x v="2"/>
    <x v="1"/>
  </r>
  <r>
    <x v="0"/>
    <x v="1"/>
    <x v="106"/>
    <x v="1"/>
    <s v="Unknown"/>
    <x v="7"/>
    <n v="0"/>
    <n v="0"/>
    <x v="0"/>
    <x v="16"/>
    <x v="0"/>
    <x v="0"/>
  </r>
  <r>
    <x v="0"/>
    <x v="0"/>
    <x v="107"/>
    <x v="0"/>
    <s v="Unknown"/>
    <x v="7"/>
    <n v="0"/>
    <n v="0"/>
    <x v="0"/>
    <x v="53"/>
    <x v="2"/>
    <x v="0"/>
  </r>
  <r>
    <x v="0"/>
    <x v="0"/>
    <x v="108"/>
    <x v="0"/>
    <s v="Unknown"/>
    <x v="7"/>
    <n v="0"/>
    <n v="0"/>
    <x v="0"/>
    <x v="54"/>
    <x v="6"/>
    <x v="1"/>
  </r>
  <r>
    <x v="0"/>
    <x v="0"/>
    <x v="109"/>
    <x v="1"/>
    <n v="36"/>
    <x v="4"/>
    <n v="0"/>
    <n v="0"/>
    <x v="0"/>
    <x v="55"/>
    <x v="2"/>
    <x v="0"/>
  </r>
  <r>
    <x v="0"/>
    <x v="1"/>
    <x v="110"/>
    <x v="1"/>
    <n v="30"/>
    <x v="0"/>
    <n v="0"/>
    <n v="0"/>
    <x v="0"/>
    <x v="56"/>
    <x v="2"/>
    <x v="1"/>
  </r>
  <r>
    <x v="0"/>
    <x v="0"/>
    <x v="111"/>
    <x v="0"/>
    <n v="24"/>
    <x v="0"/>
    <n v="3"/>
    <n v="2"/>
    <x v="4"/>
    <x v="57"/>
    <x v="0"/>
    <x v="0"/>
  </r>
  <r>
    <x v="0"/>
    <x v="0"/>
    <x v="112"/>
    <x v="0"/>
    <n v="28"/>
    <x v="0"/>
    <n v="3"/>
    <n v="2"/>
    <x v="4"/>
    <x v="57"/>
    <x v="0"/>
    <x v="0"/>
  </r>
  <r>
    <x v="0"/>
    <x v="0"/>
    <x v="113"/>
    <x v="0"/>
    <n v="23"/>
    <x v="0"/>
    <n v="3"/>
    <n v="2"/>
    <x v="4"/>
    <x v="57"/>
    <x v="0"/>
    <x v="0"/>
  </r>
  <r>
    <x v="0"/>
    <x v="1"/>
    <x v="114"/>
    <x v="1"/>
    <n v="19"/>
    <x v="0"/>
    <n v="3"/>
    <n v="2"/>
    <x v="4"/>
    <x v="57"/>
    <x v="0"/>
    <x v="0"/>
  </r>
  <r>
    <x v="0"/>
    <x v="1"/>
    <x v="115"/>
    <x v="1"/>
    <n v="64"/>
    <x v="3"/>
    <n v="1"/>
    <n v="4"/>
    <x v="4"/>
    <x v="57"/>
    <x v="0"/>
    <x v="0"/>
  </r>
  <r>
    <x v="0"/>
    <x v="0"/>
    <x v="116"/>
    <x v="0"/>
    <n v="60"/>
    <x v="5"/>
    <n v="1"/>
    <n v="4"/>
    <x v="4"/>
    <x v="57"/>
    <x v="0"/>
    <x v="0"/>
  </r>
  <r>
    <x v="0"/>
    <x v="0"/>
    <x v="117"/>
    <x v="0"/>
    <n v="30"/>
    <x v="0"/>
    <n v="0"/>
    <n v="0"/>
    <x v="0"/>
    <x v="50"/>
    <x v="3"/>
    <x v="1"/>
  </r>
  <r>
    <x v="0"/>
    <x v="1"/>
    <x v="118"/>
    <x v="1"/>
    <s v="Unknown"/>
    <x v="7"/>
    <n v="0"/>
    <n v="0"/>
    <x v="0"/>
    <x v="2"/>
    <x v="2"/>
    <x v="0"/>
  </r>
  <r>
    <x v="0"/>
    <x v="0"/>
    <x v="119"/>
    <x v="1"/>
    <n v="50"/>
    <x v="2"/>
    <n v="2"/>
    <n v="0"/>
    <x v="3"/>
    <x v="58"/>
    <x v="6"/>
    <x v="0"/>
  </r>
  <r>
    <x v="0"/>
    <x v="0"/>
    <x v="120"/>
    <x v="1"/>
    <n v="43"/>
    <x v="2"/>
    <n v="1"/>
    <n v="0"/>
    <x v="2"/>
    <x v="28"/>
    <x v="2"/>
    <x v="1"/>
  </r>
  <r>
    <x v="0"/>
    <x v="0"/>
    <x v="121"/>
    <x v="0"/>
    <s v="Unknown"/>
    <x v="7"/>
    <n v="1"/>
    <n v="0"/>
    <x v="2"/>
    <x v="58"/>
    <x v="6"/>
    <x v="0"/>
  </r>
  <r>
    <x v="0"/>
    <x v="0"/>
    <x v="122"/>
    <x v="0"/>
    <n v="22"/>
    <x v="0"/>
    <n v="0"/>
    <n v="2"/>
    <x v="3"/>
    <x v="59"/>
    <x v="2"/>
    <x v="1"/>
  </r>
  <r>
    <x v="0"/>
    <x v="0"/>
    <x v="123"/>
    <x v="1"/>
    <n v="60"/>
    <x v="5"/>
    <n v="1"/>
    <n v="1"/>
    <x v="3"/>
    <x v="60"/>
    <x v="3"/>
    <x v="1"/>
  </r>
  <r>
    <x v="0"/>
    <x v="0"/>
    <x v="124"/>
    <x v="0"/>
    <n v="48"/>
    <x v="2"/>
    <n v="1"/>
    <n v="1"/>
    <x v="3"/>
    <x v="60"/>
    <x v="3"/>
    <x v="1"/>
  </r>
  <r>
    <x v="0"/>
    <x v="1"/>
    <x v="125"/>
    <x v="1"/>
    <s v="Unknown"/>
    <x v="7"/>
    <n v="0"/>
    <n v="0"/>
    <x v="0"/>
    <x v="4"/>
    <x v="4"/>
    <x v="0"/>
  </r>
  <r>
    <x v="0"/>
    <x v="1"/>
    <x v="126"/>
    <x v="1"/>
    <n v="37"/>
    <x v="4"/>
    <n v="1"/>
    <n v="0"/>
    <x v="2"/>
    <x v="37"/>
    <x v="3"/>
    <x v="0"/>
  </r>
  <r>
    <x v="0"/>
    <x v="0"/>
    <x v="127"/>
    <x v="0"/>
    <n v="35"/>
    <x v="4"/>
    <n v="1"/>
    <n v="0"/>
    <x v="2"/>
    <x v="37"/>
    <x v="3"/>
    <x v="0"/>
  </r>
  <r>
    <x v="0"/>
    <x v="1"/>
    <x v="128"/>
    <x v="1"/>
    <n v="47"/>
    <x v="2"/>
    <n v="0"/>
    <n v="0"/>
    <x v="0"/>
    <x v="61"/>
    <x v="2"/>
    <x v="0"/>
  </r>
  <r>
    <x v="0"/>
    <x v="0"/>
    <x v="129"/>
    <x v="0"/>
    <n v="35"/>
    <x v="4"/>
    <n v="0"/>
    <n v="0"/>
    <x v="0"/>
    <x v="62"/>
    <x v="0"/>
    <x v="1"/>
  </r>
  <r>
    <x v="0"/>
    <x v="0"/>
    <x v="130"/>
    <x v="0"/>
    <n v="22"/>
    <x v="0"/>
    <n v="0"/>
    <n v="1"/>
    <x v="2"/>
    <x v="63"/>
    <x v="3"/>
    <x v="1"/>
  </r>
  <r>
    <x v="0"/>
    <x v="0"/>
    <x v="131"/>
    <x v="0"/>
    <n v="45"/>
    <x v="2"/>
    <n v="0"/>
    <n v="1"/>
    <x v="2"/>
    <x v="63"/>
    <x v="3"/>
    <x v="1"/>
  </r>
  <r>
    <x v="0"/>
    <x v="1"/>
    <x v="132"/>
    <x v="1"/>
    <n v="24"/>
    <x v="0"/>
    <n v="0"/>
    <n v="0"/>
    <x v="0"/>
    <x v="60"/>
    <x v="3"/>
    <x v="1"/>
  </r>
  <r>
    <x v="0"/>
    <x v="0"/>
    <x v="133"/>
    <x v="1"/>
    <n v="49"/>
    <x v="2"/>
    <n v="1"/>
    <n v="0"/>
    <x v="2"/>
    <x v="64"/>
    <x v="3"/>
    <x v="1"/>
  </r>
  <r>
    <x v="0"/>
    <x v="0"/>
    <x v="134"/>
    <x v="0"/>
    <s v="Unknown"/>
    <x v="7"/>
    <n v="1"/>
    <n v="0"/>
    <x v="2"/>
    <x v="64"/>
    <x v="3"/>
    <x v="1"/>
  </r>
  <r>
    <x v="0"/>
    <x v="1"/>
    <x v="135"/>
    <x v="1"/>
    <n v="71"/>
    <x v="6"/>
    <n v="0"/>
    <n v="0"/>
    <x v="0"/>
    <x v="65"/>
    <x v="2"/>
    <x v="1"/>
  </r>
  <r>
    <x v="0"/>
    <x v="0"/>
    <x v="136"/>
    <x v="1"/>
    <n v="53"/>
    <x v="5"/>
    <n v="0"/>
    <n v="0"/>
    <x v="0"/>
    <x v="66"/>
    <x v="2"/>
    <x v="1"/>
  </r>
  <r>
    <x v="0"/>
    <x v="0"/>
    <x v="137"/>
    <x v="0"/>
    <n v="19"/>
    <x v="0"/>
    <n v="0"/>
    <n v="0"/>
    <x v="0"/>
    <x v="10"/>
    <x v="2"/>
    <x v="0"/>
  </r>
  <r>
    <x v="0"/>
    <x v="1"/>
    <x v="138"/>
    <x v="1"/>
    <n v="38"/>
    <x v="4"/>
    <n v="0"/>
    <n v="1"/>
    <x v="2"/>
    <x v="67"/>
    <x v="1"/>
    <x v="0"/>
  </r>
  <r>
    <x v="0"/>
    <x v="0"/>
    <x v="139"/>
    <x v="0"/>
    <n v="58"/>
    <x v="5"/>
    <n v="0"/>
    <n v="1"/>
    <x v="2"/>
    <x v="67"/>
    <x v="1"/>
    <x v="0"/>
  </r>
  <r>
    <x v="0"/>
    <x v="0"/>
    <x v="140"/>
    <x v="1"/>
    <n v="23"/>
    <x v="0"/>
    <n v="0"/>
    <n v="1"/>
    <x v="2"/>
    <x v="68"/>
    <x v="3"/>
    <x v="1"/>
  </r>
  <r>
    <x v="0"/>
    <x v="0"/>
    <x v="141"/>
    <x v="0"/>
    <n v="45"/>
    <x v="2"/>
    <n v="0"/>
    <n v="1"/>
    <x v="2"/>
    <x v="68"/>
    <x v="3"/>
    <x v="1"/>
  </r>
  <r>
    <x v="0"/>
    <x v="1"/>
    <x v="142"/>
    <x v="1"/>
    <n v="46"/>
    <x v="2"/>
    <n v="0"/>
    <n v="0"/>
    <x v="0"/>
    <x v="60"/>
    <x v="3"/>
    <x v="1"/>
  </r>
  <r>
    <x v="0"/>
    <x v="0"/>
    <x v="143"/>
    <x v="1"/>
    <n v="25"/>
    <x v="0"/>
    <n v="1"/>
    <n v="0"/>
    <x v="2"/>
    <x v="69"/>
    <x v="3"/>
    <x v="1"/>
  </r>
  <r>
    <x v="0"/>
    <x v="0"/>
    <x v="144"/>
    <x v="0"/>
    <n v="25"/>
    <x v="0"/>
    <n v="1"/>
    <n v="0"/>
    <x v="2"/>
    <x v="69"/>
    <x v="3"/>
    <x v="1"/>
  </r>
  <r>
    <x v="0"/>
    <x v="0"/>
    <x v="145"/>
    <x v="1"/>
    <n v="48"/>
    <x v="2"/>
    <n v="1"/>
    <n v="0"/>
    <x v="2"/>
    <x v="70"/>
    <x v="3"/>
    <x v="1"/>
  </r>
  <r>
    <x v="0"/>
    <x v="0"/>
    <x v="146"/>
    <x v="0"/>
    <n v="49"/>
    <x v="2"/>
    <n v="1"/>
    <n v="0"/>
    <x v="2"/>
    <x v="70"/>
    <x v="3"/>
    <x v="1"/>
  </r>
  <r>
    <x v="0"/>
    <x v="1"/>
    <x v="147"/>
    <x v="1"/>
    <s v="Unknown"/>
    <x v="7"/>
    <n v="0"/>
    <n v="0"/>
    <x v="0"/>
    <x v="71"/>
    <x v="2"/>
    <x v="0"/>
  </r>
  <r>
    <x v="0"/>
    <x v="1"/>
    <x v="148"/>
    <x v="1"/>
    <n v="45"/>
    <x v="2"/>
    <n v="1"/>
    <n v="0"/>
    <x v="2"/>
    <x v="72"/>
    <x v="3"/>
    <x v="0"/>
  </r>
  <r>
    <x v="0"/>
    <x v="0"/>
    <x v="149"/>
    <x v="0"/>
    <n v="35"/>
    <x v="4"/>
    <n v="1"/>
    <n v="0"/>
    <x v="2"/>
    <x v="72"/>
    <x v="3"/>
    <x v="0"/>
  </r>
  <r>
    <x v="0"/>
    <x v="1"/>
    <x v="150"/>
    <x v="1"/>
    <n v="40"/>
    <x v="4"/>
    <n v="0"/>
    <n v="0"/>
    <x v="0"/>
    <x v="4"/>
    <x v="4"/>
    <x v="0"/>
  </r>
  <r>
    <x v="0"/>
    <x v="0"/>
    <x v="151"/>
    <x v="1"/>
    <n v="27"/>
    <x v="0"/>
    <n v="0"/>
    <n v="0"/>
    <x v="0"/>
    <x v="70"/>
    <x v="3"/>
    <x v="1"/>
  </r>
  <r>
    <x v="0"/>
    <x v="0"/>
    <x v="152"/>
    <x v="1"/>
    <s v="Unknown"/>
    <x v="7"/>
    <n v="0"/>
    <n v="0"/>
    <x v="0"/>
    <x v="10"/>
    <x v="2"/>
    <x v="0"/>
  </r>
  <r>
    <x v="0"/>
    <x v="0"/>
    <x v="153"/>
    <x v="0"/>
    <n v="24"/>
    <x v="0"/>
    <n v="0"/>
    <n v="0"/>
    <x v="0"/>
    <x v="43"/>
    <x v="3"/>
    <x v="1"/>
  </r>
  <r>
    <x v="0"/>
    <x v="1"/>
    <x v="154"/>
    <x v="1"/>
    <n v="55"/>
    <x v="5"/>
    <n v="1"/>
    <n v="1"/>
    <x v="3"/>
    <x v="73"/>
    <x v="3"/>
    <x v="0"/>
  </r>
  <r>
    <x v="0"/>
    <x v="0"/>
    <x v="155"/>
    <x v="0"/>
    <n v="52"/>
    <x v="5"/>
    <n v="1"/>
    <n v="1"/>
    <x v="3"/>
    <x v="73"/>
    <x v="3"/>
    <x v="0"/>
  </r>
  <r>
    <x v="0"/>
    <x v="1"/>
    <x v="156"/>
    <x v="1"/>
    <n v="42"/>
    <x v="2"/>
    <n v="0"/>
    <n v="0"/>
    <x v="0"/>
    <x v="74"/>
    <x v="2"/>
    <x v="0"/>
  </r>
  <r>
    <x v="0"/>
    <x v="1"/>
    <x v="157"/>
    <x v="1"/>
    <s v="Unknown"/>
    <x v="7"/>
    <n v="0"/>
    <n v="0"/>
    <x v="0"/>
    <x v="75"/>
    <x v="3"/>
    <x v="0"/>
  </r>
  <r>
    <x v="0"/>
    <x v="1"/>
    <x v="158"/>
    <x v="1"/>
    <n v="55"/>
    <x v="5"/>
    <n v="0"/>
    <n v="0"/>
    <x v="0"/>
    <x v="76"/>
    <x v="2"/>
    <x v="0"/>
  </r>
  <r>
    <x v="0"/>
    <x v="0"/>
    <x v="159"/>
    <x v="0"/>
    <n v="16"/>
    <x v="1"/>
    <n v="0"/>
    <n v="1"/>
    <x v="2"/>
    <x v="77"/>
    <x v="3"/>
    <x v="1"/>
  </r>
  <r>
    <x v="0"/>
    <x v="0"/>
    <x v="160"/>
    <x v="0"/>
    <n v="44"/>
    <x v="2"/>
    <n v="0"/>
    <n v="1"/>
    <x v="2"/>
    <x v="77"/>
    <x v="3"/>
    <x v="1"/>
  </r>
  <r>
    <x v="0"/>
    <x v="0"/>
    <x v="161"/>
    <x v="0"/>
    <n v="51"/>
    <x v="5"/>
    <n v="1"/>
    <n v="0"/>
    <x v="2"/>
    <x v="3"/>
    <x v="3"/>
    <x v="0"/>
  </r>
  <r>
    <x v="0"/>
    <x v="1"/>
    <x v="162"/>
    <x v="1"/>
    <n v="42"/>
    <x v="2"/>
    <n v="1"/>
    <n v="0"/>
    <x v="2"/>
    <x v="41"/>
    <x v="3"/>
    <x v="0"/>
  </r>
  <r>
    <x v="0"/>
    <x v="0"/>
    <x v="163"/>
    <x v="0"/>
    <n v="35"/>
    <x v="4"/>
    <n v="1"/>
    <n v="0"/>
    <x v="2"/>
    <x v="41"/>
    <x v="3"/>
    <x v="0"/>
  </r>
  <r>
    <x v="0"/>
    <x v="0"/>
    <x v="164"/>
    <x v="1"/>
    <n v="35"/>
    <x v="4"/>
    <n v="0"/>
    <n v="0"/>
    <x v="0"/>
    <x v="2"/>
    <x v="2"/>
    <x v="1"/>
  </r>
  <r>
    <x v="0"/>
    <x v="0"/>
    <x v="165"/>
    <x v="1"/>
    <n v="38"/>
    <x v="4"/>
    <n v="1"/>
    <n v="0"/>
    <x v="2"/>
    <x v="78"/>
    <x v="3"/>
    <x v="0"/>
  </r>
  <r>
    <x v="0"/>
    <x v="1"/>
    <x v="166"/>
    <x v="1"/>
    <s v="Unknown"/>
    <x v="7"/>
    <n v="0"/>
    <n v="0"/>
    <x v="0"/>
    <x v="79"/>
    <x v="2"/>
    <x v="1"/>
  </r>
  <r>
    <x v="0"/>
    <x v="0"/>
    <x v="167"/>
    <x v="0"/>
    <n v="35"/>
    <x v="4"/>
    <n v="1"/>
    <n v="0"/>
    <x v="2"/>
    <x v="78"/>
    <x v="3"/>
    <x v="0"/>
  </r>
  <r>
    <x v="0"/>
    <x v="0"/>
    <x v="168"/>
    <x v="0"/>
    <n v="38"/>
    <x v="4"/>
    <n v="0"/>
    <n v="0"/>
    <x v="0"/>
    <x v="80"/>
    <x v="3"/>
    <x v="2"/>
  </r>
  <r>
    <x v="0"/>
    <x v="1"/>
    <x v="169"/>
    <x v="0"/>
    <n v="50"/>
    <x v="2"/>
    <n v="0"/>
    <n v="0"/>
    <x v="0"/>
    <x v="81"/>
    <x v="2"/>
    <x v="1"/>
  </r>
  <r>
    <x v="0"/>
    <x v="0"/>
    <x v="170"/>
    <x v="1"/>
    <n v="49"/>
    <x v="2"/>
    <n v="0"/>
    <n v="0"/>
    <x v="0"/>
    <x v="4"/>
    <x v="4"/>
    <x v="0"/>
  </r>
  <r>
    <x v="0"/>
    <x v="1"/>
    <x v="171"/>
    <x v="1"/>
    <n v="46"/>
    <x v="2"/>
    <n v="0"/>
    <n v="0"/>
    <x v="0"/>
    <x v="17"/>
    <x v="2"/>
    <x v="0"/>
  </r>
  <r>
    <x v="0"/>
    <x v="1"/>
    <x v="172"/>
    <x v="1"/>
    <n v="50"/>
    <x v="2"/>
    <n v="0"/>
    <n v="0"/>
    <x v="0"/>
    <x v="17"/>
    <x v="2"/>
    <x v="0"/>
  </r>
  <r>
    <x v="0"/>
    <x v="1"/>
    <x v="173"/>
    <x v="1"/>
    <n v="32.5"/>
    <x v="4"/>
    <n v="0"/>
    <n v="0"/>
    <x v="0"/>
    <x v="62"/>
    <x v="0"/>
    <x v="1"/>
  </r>
  <r>
    <x v="0"/>
    <x v="1"/>
    <x v="174"/>
    <x v="1"/>
    <n v="58"/>
    <x v="5"/>
    <n v="0"/>
    <n v="0"/>
    <x v="0"/>
    <x v="39"/>
    <x v="2"/>
    <x v="1"/>
  </r>
  <r>
    <x v="0"/>
    <x v="1"/>
    <x v="175"/>
    <x v="1"/>
    <n v="41"/>
    <x v="2"/>
    <n v="1"/>
    <n v="0"/>
    <x v="2"/>
    <x v="75"/>
    <x v="3"/>
    <x v="0"/>
  </r>
  <r>
    <x v="0"/>
    <x v="0"/>
    <x v="176"/>
    <x v="0"/>
    <s v="Unknown"/>
    <x v="7"/>
    <n v="1"/>
    <n v="0"/>
    <x v="2"/>
    <x v="75"/>
    <x v="3"/>
    <x v="0"/>
  </r>
  <r>
    <x v="0"/>
    <x v="0"/>
    <x v="177"/>
    <x v="1"/>
    <n v="42"/>
    <x v="2"/>
    <n v="1"/>
    <n v="0"/>
    <x v="2"/>
    <x v="15"/>
    <x v="3"/>
    <x v="0"/>
  </r>
  <r>
    <x v="0"/>
    <x v="0"/>
    <x v="178"/>
    <x v="0"/>
    <n v="45"/>
    <x v="2"/>
    <n v="1"/>
    <n v="0"/>
    <x v="2"/>
    <x v="15"/>
    <x v="3"/>
    <x v="0"/>
  </r>
  <r>
    <x v="0"/>
    <x v="1"/>
    <x v="179"/>
    <x v="1"/>
    <s v="Unknown"/>
    <x v="7"/>
    <n v="0"/>
    <n v="0"/>
    <x v="0"/>
    <x v="2"/>
    <x v="2"/>
    <x v="0"/>
  </r>
  <r>
    <x v="0"/>
    <x v="0"/>
    <x v="180"/>
    <x v="0"/>
    <n v="39"/>
    <x v="4"/>
    <n v="0"/>
    <n v="0"/>
    <x v="0"/>
    <x v="0"/>
    <x v="0"/>
    <x v="0"/>
  </r>
  <r>
    <x v="0"/>
    <x v="0"/>
    <x v="181"/>
    <x v="0"/>
    <n v="49"/>
    <x v="2"/>
    <n v="0"/>
    <n v="0"/>
    <x v="0"/>
    <x v="82"/>
    <x v="5"/>
    <x v="0"/>
  </r>
  <r>
    <x v="0"/>
    <x v="0"/>
    <x v="182"/>
    <x v="0"/>
    <n v="30"/>
    <x v="0"/>
    <n v="0"/>
    <n v="0"/>
    <x v="0"/>
    <x v="49"/>
    <x v="6"/>
    <x v="1"/>
  </r>
  <r>
    <x v="0"/>
    <x v="0"/>
    <x v="183"/>
    <x v="1"/>
    <n v="35"/>
    <x v="4"/>
    <n v="0"/>
    <n v="0"/>
    <x v="0"/>
    <x v="32"/>
    <x v="0"/>
    <x v="1"/>
  </r>
  <r>
    <x v="0"/>
    <x v="1"/>
    <x v="184"/>
    <x v="1"/>
    <s v="Unknown"/>
    <x v="7"/>
    <n v="0"/>
    <n v="0"/>
    <x v="0"/>
    <x v="28"/>
    <x v="2"/>
    <x v="1"/>
  </r>
  <r>
    <x v="0"/>
    <x v="1"/>
    <x v="185"/>
    <x v="1"/>
    <n v="42"/>
    <x v="2"/>
    <n v="0"/>
    <n v="0"/>
    <x v="0"/>
    <x v="2"/>
    <x v="2"/>
    <x v="0"/>
  </r>
  <r>
    <x v="0"/>
    <x v="0"/>
    <x v="186"/>
    <x v="0"/>
    <n v="55"/>
    <x v="5"/>
    <n v="0"/>
    <n v="0"/>
    <x v="0"/>
    <x v="28"/>
    <x v="2"/>
    <x v="1"/>
  </r>
  <r>
    <x v="0"/>
    <x v="0"/>
    <x v="187"/>
    <x v="0"/>
    <n v="16"/>
    <x v="1"/>
    <n v="0"/>
    <n v="1"/>
    <x v="2"/>
    <x v="83"/>
    <x v="2"/>
    <x v="0"/>
  </r>
  <r>
    <x v="0"/>
    <x v="0"/>
    <x v="188"/>
    <x v="0"/>
    <n v="51"/>
    <x v="5"/>
    <n v="0"/>
    <n v="1"/>
    <x v="2"/>
    <x v="83"/>
    <x v="2"/>
    <x v="0"/>
  </r>
  <r>
    <x v="0"/>
    <x v="1"/>
    <x v="189"/>
    <x v="1"/>
    <n v="29"/>
    <x v="0"/>
    <n v="0"/>
    <n v="0"/>
    <x v="0"/>
    <x v="10"/>
    <x v="2"/>
    <x v="0"/>
  </r>
  <r>
    <x v="0"/>
    <x v="0"/>
    <x v="190"/>
    <x v="0"/>
    <n v="21"/>
    <x v="0"/>
    <n v="0"/>
    <n v="0"/>
    <x v="0"/>
    <x v="3"/>
    <x v="3"/>
    <x v="0"/>
  </r>
  <r>
    <x v="0"/>
    <x v="1"/>
    <x v="191"/>
    <x v="1"/>
    <n v="30"/>
    <x v="0"/>
    <n v="0"/>
    <n v="0"/>
    <x v="0"/>
    <x v="84"/>
    <x v="2"/>
    <x v="0"/>
  </r>
  <r>
    <x v="0"/>
    <x v="0"/>
    <x v="192"/>
    <x v="0"/>
    <n v="58"/>
    <x v="5"/>
    <n v="0"/>
    <n v="0"/>
    <x v="0"/>
    <x v="85"/>
    <x v="6"/>
    <x v="1"/>
  </r>
  <r>
    <x v="0"/>
    <x v="0"/>
    <x v="193"/>
    <x v="0"/>
    <n v="15"/>
    <x v="1"/>
    <n v="0"/>
    <n v="1"/>
    <x v="2"/>
    <x v="0"/>
    <x v="0"/>
    <x v="0"/>
  </r>
  <r>
    <x v="0"/>
    <x v="1"/>
    <x v="194"/>
    <x v="1"/>
    <n v="30"/>
    <x v="0"/>
    <n v="0"/>
    <n v="0"/>
    <x v="0"/>
    <x v="17"/>
    <x v="2"/>
    <x v="0"/>
  </r>
  <r>
    <x v="0"/>
    <x v="0"/>
    <x v="195"/>
    <x v="0"/>
    <n v="16"/>
    <x v="1"/>
    <n v="0"/>
    <n v="0"/>
    <x v="0"/>
    <x v="38"/>
    <x v="3"/>
    <x v="0"/>
  </r>
  <r>
    <x v="0"/>
    <x v="0"/>
    <x v="196"/>
    <x v="1"/>
    <s v="Unknown"/>
    <x v="7"/>
    <n v="0"/>
    <n v="0"/>
    <x v="0"/>
    <x v="39"/>
    <x v="2"/>
    <x v="1"/>
  </r>
  <r>
    <x v="0"/>
    <x v="1"/>
    <x v="197"/>
    <x v="1"/>
    <n v="19"/>
    <x v="0"/>
    <n v="1"/>
    <n v="0"/>
    <x v="2"/>
    <x v="37"/>
    <x v="3"/>
    <x v="0"/>
  </r>
  <r>
    <x v="0"/>
    <x v="0"/>
    <x v="198"/>
    <x v="0"/>
    <n v="18"/>
    <x v="1"/>
    <n v="1"/>
    <n v="0"/>
    <x v="2"/>
    <x v="37"/>
    <x v="3"/>
    <x v="0"/>
  </r>
  <r>
    <x v="0"/>
    <x v="0"/>
    <x v="199"/>
    <x v="0"/>
    <n v="24"/>
    <x v="0"/>
    <n v="0"/>
    <n v="0"/>
    <x v="0"/>
    <x v="6"/>
    <x v="2"/>
    <x v="1"/>
  </r>
  <r>
    <x v="0"/>
    <x v="1"/>
    <x v="200"/>
    <x v="1"/>
    <n v="46"/>
    <x v="2"/>
    <n v="0"/>
    <n v="0"/>
    <x v="0"/>
    <x v="14"/>
    <x v="3"/>
    <x v="1"/>
  </r>
  <r>
    <x v="0"/>
    <x v="1"/>
    <x v="201"/>
    <x v="1"/>
    <n v="54"/>
    <x v="5"/>
    <n v="0"/>
    <n v="0"/>
    <x v="0"/>
    <x v="75"/>
    <x v="3"/>
    <x v="0"/>
  </r>
  <r>
    <x v="0"/>
    <x v="0"/>
    <x v="202"/>
    <x v="1"/>
    <n v="36"/>
    <x v="4"/>
    <n v="0"/>
    <n v="0"/>
    <x v="0"/>
    <x v="30"/>
    <x v="2"/>
    <x v="0"/>
  </r>
  <r>
    <x v="0"/>
    <x v="1"/>
    <x v="203"/>
    <x v="1"/>
    <n v="28"/>
    <x v="0"/>
    <n v="1"/>
    <n v="0"/>
    <x v="2"/>
    <x v="86"/>
    <x v="3"/>
    <x v="1"/>
  </r>
  <r>
    <x v="0"/>
    <x v="0"/>
    <x v="204"/>
    <x v="0"/>
    <s v="Unknown"/>
    <x v="7"/>
    <n v="1"/>
    <n v="0"/>
    <x v="2"/>
    <x v="86"/>
    <x v="3"/>
    <x v="1"/>
  </r>
  <r>
    <x v="0"/>
    <x v="1"/>
    <x v="205"/>
    <x v="1"/>
    <n v="65"/>
    <x v="3"/>
    <n v="0"/>
    <n v="0"/>
    <x v="0"/>
    <x v="2"/>
    <x v="2"/>
    <x v="0"/>
  </r>
  <r>
    <x v="0"/>
    <x v="1"/>
    <x v="206"/>
    <x v="1"/>
    <n v="44"/>
    <x v="2"/>
    <n v="2"/>
    <n v="0"/>
    <x v="3"/>
    <x v="78"/>
    <x v="3"/>
    <x v="3"/>
  </r>
  <r>
    <x v="0"/>
    <x v="0"/>
    <x v="207"/>
    <x v="0"/>
    <n v="33"/>
    <x v="4"/>
    <n v="1"/>
    <n v="0"/>
    <x v="2"/>
    <x v="78"/>
    <x v="3"/>
    <x v="3"/>
  </r>
  <r>
    <x v="0"/>
    <x v="0"/>
    <x v="208"/>
    <x v="0"/>
    <n v="37"/>
    <x v="4"/>
    <n v="1"/>
    <n v="0"/>
    <x v="2"/>
    <x v="78"/>
    <x v="3"/>
    <x v="3"/>
  </r>
  <r>
    <x v="0"/>
    <x v="0"/>
    <x v="209"/>
    <x v="1"/>
    <n v="30"/>
    <x v="0"/>
    <n v="1"/>
    <n v="0"/>
    <x v="2"/>
    <x v="87"/>
    <x v="3"/>
    <x v="1"/>
  </r>
  <r>
    <x v="0"/>
    <x v="1"/>
    <x v="210"/>
    <x v="1"/>
    <n v="55"/>
    <x v="5"/>
    <n v="0"/>
    <n v="0"/>
    <x v="0"/>
    <x v="25"/>
    <x v="2"/>
    <x v="0"/>
  </r>
  <r>
    <x v="0"/>
    <x v="1"/>
    <x v="211"/>
    <x v="1"/>
    <n v="47"/>
    <x v="2"/>
    <n v="0"/>
    <n v="0"/>
    <x v="0"/>
    <x v="71"/>
    <x v="2"/>
    <x v="0"/>
  </r>
  <r>
    <x v="0"/>
    <x v="1"/>
    <x v="212"/>
    <x v="1"/>
    <n v="37"/>
    <x v="4"/>
    <n v="0"/>
    <n v="1"/>
    <x v="2"/>
    <x v="39"/>
    <x v="2"/>
    <x v="1"/>
  </r>
  <r>
    <x v="0"/>
    <x v="0"/>
    <x v="213"/>
    <x v="0"/>
    <n v="31"/>
    <x v="4"/>
    <n v="1"/>
    <n v="0"/>
    <x v="2"/>
    <x v="88"/>
    <x v="6"/>
    <x v="1"/>
  </r>
  <r>
    <x v="0"/>
    <x v="0"/>
    <x v="214"/>
    <x v="0"/>
    <n v="23"/>
    <x v="0"/>
    <n v="1"/>
    <n v="0"/>
    <x v="2"/>
    <x v="88"/>
    <x v="6"/>
    <x v="1"/>
  </r>
  <r>
    <x v="0"/>
    <x v="1"/>
    <x v="215"/>
    <x v="1"/>
    <n v="58"/>
    <x v="5"/>
    <n v="0"/>
    <n v="2"/>
    <x v="3"/>
    <x v="88"/>
    <x v="6"/>
    <x v="1"/>
  </r>
  <r>
    <x v="0"/>
    <x v="0"/>
    <x v="216"/>
    <x v="0"/>
    <n v="19"/>
    <x v="0"/>
    <n v="0"/>
    <n v="2"/>
    <x v="3"/>
    <x v="89"/>
    <x v="2"/>
    <x v="0"/>
  </r>
  <r>
    <x v="0"/>
    <x v="1"/>
    <x v="217"/>
    <x v="1"/>
    <n v="64"/>
    <x v="3"/>
    <n v="0"/>
    <n v="0"/>
    <x v="0"/>
    <x v="17"/>
    <x v="2"/>
    <x v="0"/>
  </r>
  <r>
    <x v="0"/>
    <x v="0"/>
    <x v="218"/>
    <x v="0"/>
    <n v="39"/>
    <x v="4"/>
    <n v="0"/>
    <n v="0"/>
    <x v="0"/>
    <x v="90"/>
    <x v="6"/>
    <x v="1"/>
  </r>
  <r>
    <x v="0"/>
    <x v="0"/>
    <x v="219"/>
    <x v="1"/>
    <s v="Unknown"/>
    <x v="7"/>
    <n v="0"/>
    <n v="0"/>
    <x v="0"/>
    <x v="91"/>
    <x v="5"/>
    <x v="1"/>
  </r>
  <r>
    <x v="0"/>
    <x v="0"/>
    <x v="220"/>
    <x v="0"/>
    <n v="22"/>
    <x v="0"/>
    <n v="0"/>
    <n v="1"/>
    <x v="2"/>
    <x v="92"/>
    <x v="3"/>
    <x v="1"/>
  </r>
  <r>
    <x v="0"/>
    <x v="1"/>
    <x v="221"/>
    <x v="1"/>
    <n v="65"/>
    <x v="3"/>
    <n v="0"/>
    <n v="1"/>
    <x v="2"/>
    <x v="92"/>
    <x v="3"/>
    <x v="1"/>
  </r>
  <r>
    <x v="0"/>
    <x v="1"/>
    <x v="222"/>
    <x v="1"/>
    <n v="28.5"/>
    <x v="0"/>
    <n v="0"/>
    <n v="0"/>
    <x v="0"/>
    <x v="28"/>
    <x v="2"/>
    <x v="1"/>
  </r>
  <r>
    <x v="0"/>
    <x v="1"/>
    <x v="223"/>
    <x v="1"/>
    <s v="Unknown"/>
    <x v="7"/>
    <n v="0"/>
    <n v="0"/>
    <x v="0"/>
    <x v="4"/>
    <x v="4"/>
    <x v="0"/>
  </r>
  <r>
    <x v="0"/>
    <x v="1"/>
    <x v="224"/>
    <x v="1"/>
    <n v="45.5"/>
    <x v="2"/>
    <n v="0"/>
    <n v="0"/>
    <x v="0"/>
    <x v="66"/>
    <x v="2"/>
    <x v="0"/>
  </r>
  <r>
    <x v="0"/>
    <x v="1"/>
    <x v="225"/>
    <x v="1"/>
    <n v="23"/>
    <x v="0"/>
    <n v="0"/>
    <n v="0"/>
    <x v="0"/>
    <x v="73"/>
    <x v="3"/>
    <x v="0"/>
  </r>
  <r>
    <x v="0"/>
    <x v="1"/>
    <x v="226"/>
    <x v="1"/>
    <n v="29"/>
    <x v="0"/>
    <n v="1"/>
    <n v="0"/>
    <x v="2"/>
    <x v="93"/>
    <x v="3"/>
    <x v="0"/>
  </r>
  <r>
    <x v="0"/>
    <x v="0"/>
    <x v="227"/>
    <x v="0"/>
    <n v="22"/>
    <x v="0"/>
    <n v="1"/>
    <n v="0"/>
    <x v="2"/>
    <x v="93"/>
    <x v="3"/>
    <x v="0"/>
  </r>
  <r>
    <x v="0"/>
    <x v="1"/>
    <x v="228"/>
    <x v="1"/>
    <n v="18"/>
    <x v="1"/>
    <n v="1"/>
    <n v="0"/>
    <x v="2"/>
    <x v="90"/>
    <x v="6"/>
    <x v="1"/>
  </r>
  <r>
    <x v="0"/>
    <x v="0"/>
    <x v="229"/>
    <x v="0"/>
    <n v="17"/>
    <x v="1"/>
    <n v="1"/>
    <n v="0"/>
    <x v="2"/>
    <x v="90"/>
    <x v="6"/>
    <x v="1"/>
  </r>
  <r>
    <x v="0"/>
    <x v="0"/>
    <x v="230"/>
    <x v="0"/>
    <n v="30"/>
    <x v="0"/>
    <n v="0"/>
    <n v="0"/>
    <x v="0"/>
    <x v="73"/>
    <x v="3"/>
    <x v="0"/>
  </r>
  <r>
    <x v="0"/>
    <x v="0"/>
    <x v="231"/>
    <x v="1"/>
    <n v="52"/>
    <x v="5"/>
    <n v="0"/>
    <n v="0"/>
    <x v="0"/>
    <x v="25"/>
    <x v="2"/>
    <x v="0"/>
  </r>
  <r>
    <x v="0"/>
    <x v="1"/>
    <x v="232"/>
    <x v="1"/>
    <n v="47"/>
    <x v="2"/>
    <n v="0"/>
    <n v="0"/>
    <x v="0"/>
    <x v="41"/>
    <x v="3"/>
    <x v="0"/>
  </r>
  <r>
    <x v="0"/>
    <x v="0"/>
    <x v="233"/>
    <x v="0"/>
    <n v="56"/>
    <x v="5"/>
    <n v="0"/>
    <n v="1"/>
    <x v="2"/>
    <x v="43"/>
    <x v="3"/>
    <x v="1"/>
  </r>
  <r>
    <x v="0"/>
    <x v="1"/>
    <x v="234"/>
    <x v="1"/>
    <n v="38"/>
    <x v="4"/>
    <n v="0"/>
    <n v="0"/>
    <x v="0"/>
    <x v="4"/>
    <x v="4"/>
    <x v="0"/>
  </r>
  <r>
    <x v="0"/>
    <x v="0"/>
    <x v="235"/>
    <x v="1"/>
    <s v="Unknown"/>
    <x v="7"/>
    <n v="0"/>
    <n v="0"/>
    <x v="0"/>
    <x v="27"/>
    <x v="2"/>
    <x v="0"/>
  </r>
  <r>
    <x v="0"/>
    <x v="1"/>
    <x v="236"/>
    <x v="1"/>
    <n v="22"/>
    <x v="0"/>
    <n v="0"/>
    <n v="0"/>
    <x v="0"/>
    <x v="19"/>
    <x v="6"/>
    <x v="1"/>
  </r>
  <r>
    <x v="0"/>
    <x v="1"/>
    <x v="237"/>
    <x v="1"/>
    <s v="Unknown"/>
    <x v="7"/>
    <n v="0"/>
    <n v="0"/>
    <x v="0"/>
    <x v="7"/>
    <x v="0"/>
    <x v="1"/>
  </r>
  <r>
    <x v="0"/>
    <x v="0"/>
    <x v="238"/>
    <x v="0"/>
    <n v="43"/>
    <x v="2"/>
    <n v="0"/>
    <n v="1"/>
    <x v="2"/>
    <x v="0"/>
    <x v="0"/>
    <x v="0"/>
  </r>
  <r>
    <x v="0"/>
    <x v="1"/>
    <x v="239"/>
    <x v="1"/>
    <n v="31"/>
    <x v="4"/>
    <n v="0"/>
    <n v="0"/>
    <x v="0"/>
    <x v="26"/>
    <x v="2"/>
    <x v="0"/>
  </r>
  <r>
    <x v="0"/>
    <x v="0"/>
    <x v="240"/>
    <x v="1"/>
    <n v="45"/>
    <x v="2"/>
    <n v="0"/>
    <n v="0"/>
    <x v="0"/>
    <x v="2"/>
    <x v="2"/>
    <x v="0"/>
  </r>
  <r>
    <x v="0"/>
    <x v="1"/>
    <x v="241"/>
    <x v="1"/>
    <s v="Unknown"/>
    <x v="7"/>
    <n v="0"/>
    <n v="0"/>
    <x v="0"/>
    <x v="76"/>
    <x v="2"/>
    <x v="0"/>
  </r>
  <r>
    <x v="0"/>
    <x v="0"/>
    <x v="242"/>
    <x v="0"/>
    <n v="33"/>
    <x v="4"/>
    <n v="0"/>
    <n v="0"/>
    <x v="0"/>
    <x v="28"/>
    <x v="2"/>
    <x v="1"/>
  </r>
  <r>
    <x v="0"/>
    <x v="1"/>
    <x v="243"/>
    <x v="1"/>
    <n v="46"/>
    <x v="2"/>
    <n v="0"/>
    <n v="0"/>
    <x v="0"/>
    <x v="60"/>
    <x v="3"/>
    <x v="1"/>
  </r>
  <r>
    <x v="0"/>
    <x v="1"/>
    <x v="244"/>
    <x v="1"/>
    <n v="36"/>
    <x v="4"/>
    <n v="0"/>
    <n v="0"/>
    <x v="0"/>
    <x v="94"/>
    <x v="2"/>
    <x v="1"/>
  </r>
  <r>
    <x v="0"/>
    <x v="0"/>
    <x v="245"/>
    <x v="0"/>
    <n v="33"/>
    <x v="4"/>
    <n v="0"/>
    <n v="0"/>
    <x v="0"/>
    <x v="38"/>
    <x v="3"/>
    <x v="0"/>
  </r>
  <r>
    <x v="0"/>
    <x v="1"/>
    <x v="246"/>
    <x v="1"/>
    <n v="55"/>
    <x v="5"/>
    <n v="1"/>
    <n v="0"/>
    <x v="2"/>
    <x v="63"/>
    <x v="3"/>
    <x v="1"/>
  </r>
  <r>
    <x v="0"/>
    <x v="0"/>
    <x v="247"/>
    <x v="0"/>
    <n v="54"/>
    <x v="5"/>
    <n v="1"/>
    <n v="0"/>
    <x v="2"/>
    <x v="63"/>
    <x v="3"/>
    <x v="1"/>
  </r>
  <r>
    <x v="0"/>
    <x v="1"/>
    <x v="248"/>
    <x v="1"/>
    <n v="33"/>
    <x v="4"/>
    <n v="0"/>
    <n v="0"/>
    <x v="0"/>
    <x v="2"/>
    <x v="2"/>
    <x v="0"/>
  </r>
  <r>
    <x v="0"/>
    <x v="0"/>
    <x v="249"/>
    <x v="1"/>
    <n v="13"/>
    <x v="1"/>
    <n v="2"/>
    <n v="2"/>
    <x v="5"/>
    <x v="23"/>
    <x v="0"/>
    <x v="1"/>
  </r>
  <r>
    <x v="0"/>
    <x v="0"/>
    <x v="250"/>
    <x v="0"/>
    <n v="18"/>
    <x v="1"/>
    <n v="2"/>
    <n v="2"/>
    <x v="5"/>
    <x v="23"/>
    <x v="0"/>
    <x v="1"/>
  </r>
  <r>
    <x v="0"/>
    <x v="0"/>
    <x v="251"/>
    <x v="0"/>
    <n v="21"/>
    <x v="0"/>
    <n v="2"/>
    <n v="2"/>
    <x v="5"/>
    <x v="23"/>
    <x v="0"/>
    <x v="1"/>
  </r>
  <r>
    <x v="0"/>
    <x v="1"/>
    <x v="252"/>
    <x v="1"/>
    <n v="61"/>
    <x v="3"/>
    <n v="1"/>
    <n v="3"/>
    <x v="5"/>
    <x v="23"/>
    <x v="0"/>
    <x v="1"/>
  </r>
  <r>
    <x v="0"/>
    <x v="0"/>
    <x v="253"/>
    <x v="0"/>
    <n v="48"/>
    <x v="2"/>
    <n v="1"/>
    <n v="3"/>
    <x v="5"/>
    <x v="23"/>
    <x v="0"/>
    <x v="1"/>
  </r>
  <r>
    <x v="0"/>
    <x v="0"/>
    <x v="254"/>
    <x v="1"/>
    <s v="Unknown"/>
    <x v="7"/>
    <n v="0"/>
    <n v="0"/>
    <x v="0"/>
    <x v="25"/>
    <x v="2"/>
    <x v="0"/>
  </r>
  <r>
    <x v="0"/>
    <x v="0"/>
    <x v="255"/>
    <x v="0"/>
    <n v="24"/>
    <x v="0"/>
    <n v="0"/>
    <n v="0"/>
    <x v="0"/>
    <x v="8"/>
    <x v="3"/>
    <x v="1"/>
  </r>
  <r>
    <x v="0"/>
    <x v="0"/>
    <x v="256"/>
    <x v="1"/>
    <s v="Unknown"/>
    <x v="7"/>
    <n v="0"/>
    <n v="0"/>
    <x v="0"/>
    <x v="17"/>
    <x v="2"/>
    <x v="0"/>
  </r>
  <r>
    <x v="0"/>
    <x v="0"/>
    <x v="257"/>
    <x v="0"/>
    <n v="35"/>
    <x v="4"/>
    <n v="1"/>
    <n v="0"/>
    <x v="2"/>
    <x v="87"/>
    <x v="3"/>
    <x v="1"/>
  </r>
  <r>
    <x v="0"/>
    <x v="0"/>
    <x v="258"/>
    <x v="0"/>
    <n v="30"/>
    <x v="0"/>
    <n v="0"/>
    <n v="0"/>
    <x v="0"/>
    <x v="21"/>
    <x v="2"/>
    <x v="1"/>
  </r>
  <r>
    <x v="0"/>
    <x v="0"/>
    <x v="259"/>
    <x v="1"/>
    <n v="34"/>
    <x v="4"/>
    <n v="0"/>
    <n v="0"/>
    <x v="0"/>
    <x v="2"/>
    <x v="2"/>
    <x v="0"/>
  </r>
  <r>
    <x v="0"/>
    <x v="0"/>
    <x v="260"/>
    <x v="0"/>
    <n v="40"/>
    <x v="4"/>
    <n v="0"/>
    <n v="0"/>
    <x v="0"/>
    <x v="67"/>
    <x v="1"/>
    <x v="0"/>
  </r>
  <r>
    <x v="0"/>
    <x v="0"/>
    <x v="261"/>
    <x v="1"/>
    <n v="35"/>
    <x v="4"/>
    <n v="0"/>
    <n v="0"/>
    <x v="0"/>
    <x v="30"/>
    <x v="2"/>
    <x v="0"/>
  </r>
  <r>
    <x v="0"/>
    <x v="1"/>
    <x v="262"/>
    <x v="1"/>
    <n v="50"/>
    <x v="2"/>
    <n v="1"/>
    <n v="0"/>
    <x v="2"/>
    <x v="95"/>
    <x v="3"/>
    <x v="0"/>
  </r>
  <r>
    <x v="0"/>
    <x v="0"/>
    <x v="263"/>
    <x v="0"/>
    <n v="39"/>
    <x v="4"/>
    <n v="1"/>
    <n v="0"/>
    <x v="2"/>
    <x v="95"/>
    <x v="3"/>
    <x v="0"/>
  </r>
  <r>
    <x v="0"/>
    <x v="0"/>
    <x v="264"/>
    <x v="1"/>
    <n v="56"/>
    <x v="5"/>
    <n v="0"/>
    <n v="0"/>
    <x v="0"/>
    <x v="20"/>
    <x v="2"/>
    <x v="1"/>
  </r>
  <r>
    <x v="0"/>
    <x v="0"/>
    <x v="265"/>
    <x v="1"/>
    <n v="28"/>
    <x v="0"/>
    <n v="0"/>
    <n v="0"/>
    <x v="0"/>
    <x v="20"/>
    <x v="2"/>
    <x v="0"/>
  </r>
  <r>
    <x v="0"/>
    <x v="1"/>
    <x v="266"/>
    <x v="1"/>
    <n v="56"/>
    <x v="5"/>
    <n v="0"/>
    <n v="0"/>
    <x v="0"/>
    <x v="2"/>
    <x v="2"/>
    <x v="0"/>
  </r>
  <r>
    <x v="0"/>
    <x v="1"/>
    <x v="267"/>
    <x v="1"/>
    <n v="56"/>
    <x v="5"/>
    <n v="0"/>
    <n v="0"/>
    <x v="0"/>
    <x v="79"/>
    <x v="2"/>
    <x v="1"/>
  </r>
  <r>
    <x v="0"/>
    <x v="1"/>
    <x v="268"/>
    <x v="1"/>
    <n v="24"/>
    <x v="0"/>
    <n v="1"/>
    <n v="0"/>
    <x v="2"/>
    <x v="96"/>
    <x v="3"/>
    <x v="0"/>
  </r>
  <r>
    <x v="0"/>
    <x v="1"/>
    <x v="269"/>
    <x v="1"/>
    <s v="Unknown"/>
    <x v="7"/>
    <n v="0"/>
    <n v="0"/>
    <x v="0"/>
    <x v="17"/>
    <x v="2"/>
    <x v="0"/>
  </r>
  <r>
    <x v="0"/>
    <x v="0"/>
    <x v="270"/>
    <x v="0"/>
    <n v="18"/>
    <x v="1"/>
    <n v="1"/>
    <n v="0"/>
    <x v="2"/>
    <x v="96"/>
    <x v="3"/>
    <x v="0"/>
  </r>
  <r>
    <x v="0"/>
    <x v="0"/>
    <x v="271"/>
    <x v="1"/>
    <n v="24"/>
    <x v="0"/>
    <n v="1"/>
    <n v="0"/>
    <x v="2"/>
    <x v="97"/>
    <x v="3"/>
    <x v="0"/>
  </r>
  <r>
    <x v="0"/>
    <x v="0"/>
    <x v="272"/>
    <x v="0"/>
    <n v="23"/>
    <x v="0"/>
    <n v="1"/>
    <n v="0"/>
    <x v="2"/>
    <x v="97"/>
    <x v="3"/>
    <x v="0"/>
  </r>
  <r>
    <x v="0"/>
    <x v="0"/>
    <x v="273"/>
    <x v="1"/>
    <n v="6"/>
    <x v="1"/>
    <n v="0"/>
    <n v="2"/>
    <x v="3"/>
    <x v="29"/>
    <x v="6"/>
    <x v="1"/>
  </r>
  <r>
    <x v="0"/>
    <x v="0"/>
    <x v="274"/>
    <x v="1"/>
    <n v="45"/>
    <x v="2"/>
    <n v="1"/>
    <n v="1"/>
    <x v="3"/>
    <x v="29"/>
    <x v="6"/>
    <x v="1"/>
  </r>
  <r>
    <x v="0"/>
    <x v="0"/>
    <x v="275"/>
    <x v="0"/>
    <n v="40"/>
    <x v="4"/>
    <n v="1"/>
    <n v="1"/>
    <x v="3"/>
    <x v="29"/>
    <x v="6"/>
    <x v="1"/>
  </r>
  <r>
    <x v="0"/>
    <x v="1"/>
    <x v="276"/>
    <x v="1"/>
    <n v="57"/>
    <x v="5"/>
    <n v="1"/>
    <n v="0"/>
    <x v="2"/>
    <x v="85"/>
    <x v="6"/>
    <x v="1"/>
  </r>
  <r>
    <x v="0"/>
    <x v="0"/>
    <x v="277"/>
    <x v="0"/>
    <s v="Unknown"/>
    <x v="7"/>
    <n v="1"/>
    <n v="0"/>
    <x v="2"/>
    <x v="85"/>
    <x v="6"/>
    <x v="1"/>
  </r>
  <r>
    <x v="0"/>
    <x v="0"/>
    <x v="278"/>
    <x v="1"/>
    <n v="32"/>
    <x v="4"/>
    <n v="0"/>
    <n v="0"/>
    <x v="0"/>
    <x v="25"/>
    <x v="2"/>
    <x v="1"/>
  </r>
  <r>
    <x v="0"/>
    <x v="1"/>
    <x v="279"/>
    <x v="1"/>
    <n v="62"/>
    <x v="3"/>
    <n v="0"/>
    <n v="0"/>
    <x v="0"/>
    <x v="2"/>
    <x v="2"/>
    <x v="0"/>
  </r>
  <r>
    <x v="0"/>
    <x v="0"/>
    <x v="280"/>
    <x v="1"/>
    <n v="54"/>
    <x v="5"/>
    <n v="1"/>
    <n v="0"/>
    <x v="2"/>
    <x v="69"/>
    <x v="3"/>
    <x v="1"/>
  </r>
  <r>
    <x v="0"/>
    <x v="0"/>
    <x v="281"/>
    <x v="0"/>
    <n v="43"/>
    <x v="2"/>
    <n v="1"/>
    <n v="0"/>
    <x v="2"/>
    <x v="69"/>
    <x v="3"/>
    <x v="1"/>
  </r>
  <r>
    <x v="0"/>
    <x v="0"/>
    <x v="282"/>
    <x v="0"/>
    <n v="52"/>
    <x v="5"/>
    <n v="1"/>
    <n v="0"/>
    <x v="2"/>
    <x v="51"/>
    <x v="3"/>
    <x v="1"/>
  </r>
  <r>
    <x v="0"/>
    <x v="1"/>
    <x v="283"/>
    <x v="1"/>
    <s v="Unknown"/>
    <x v="7"/>
    <n v="0"/>
    <n v="0"/>
    <x v="0"/>
    <x v="28"/>
    <x v="2"/>
    <x v="1"/>
  </r>
  <r>
    <x v="0"/>
    <x v="0"/>
    <x v="284"/>
    <x v="0"/>
    <n v="62"/>
    <x v="3"/>
    <n v="0"/>
    <n v="0"/>
    <x v="0"/>
    <x v="80"/>
    <x v="3"/>
    <x v="2"/>
  </r>
  <r>
    <x v="0"/>
    <x v="1"/>
    <x v="285"/>
    <x v="1"/>
    <n v="67"/>
    <x v="3"/>
    <n v="1"/>
    <n v="0"/>
    <x v="2"/>
    <x v="16"/>
    <x v="0"/>
    <x v="0"/>
  </r>
  <r>
    <x v="0"/>
    <x v="1"/>
    <x v="286"/>
    <x v="0"/>
    <n v="63"/>
    <x v="3"/>
    <n v="1"/>
    <n v="0"/>
    <x v="2"/>
    <x v="16"/>
    <x v="0"/>
    <x v="0"/>
  </r>
  <r>
    <x v="0"/>
    <x v="1"/>
    <x v="287"/>
    <x v="1"/>
    <n v="61"/>
    <x v="3"/>
    <n v="0"/>
    <n v="0"/>
    <x v="0"/>
    <x v="98"/>
    <x v="2"/>
    <x v="0"/>
  </r>
  <r>
    <x v="0"/>
    <x v="0"/>
    <x v="288"/>
    <x v="0"/>
    <n v="48"/>
    <x v="2"/>
    <n v="0"/>
    <n v="0"/>
    <x v="0"/>
    <x v="82"/>
    <x v="5"/>
    <x v="0"/>
  </r>
  <r>
    <x v="0"/>
    <x v="0"/>
    <x v="289"/>
    <x v="0"/>
    <n v="18"/>
    <x v="1"/>
    <n v="0"/>
    <n v="2"/>
    <x v="3"/>
    <x v="99"/>
    <x v="3"/>
    <x v="0"/>
  </r>
  <r>
    <x v="0"/>
    <x v="1"/>
    <x v="290"/>
    <x v="1"/>
    <n v="52"/>
    <x v="5"/>
    <n v="1"/>
    <n v="1"/>
    <x v="3"/>
    <x v="99"/>
    <x v="3"/>
    <x v="0"/>
  </r>
  <r>
    <x v="0"/>
    <x v="0"/>
    <x v="291"/>
    <x v="0"/>
    <n v="39"/>
    <x v="4"/>
    <n v="1"/>
    <n v="1"/>
    <x v="3"/>
    <x v="99"/>
    <x v="3"/>
    <x v="0"/>
  </r>
  <r>
    <x v="0"/>
    <x v="0"/>
    <x v="292"/>
    <x v="1"/>
    <n v="48"/>
    <x v="2"/>
    <n v="1"/>
    <n v="0"/>
    <x v="2"/>
    <x v="41"/>
    <x v="3"/>
    <x v="0"/>
  </r>
  <r>
    <x v="0"/>
    <x v="0"/>
    <x v="293"/>
    <x v="0"/>
    <s v="Unknown"/>
    <x v="7"/>
    <n v="1"/>
    <n v="0"/>
    <x v="2"/>
    <x v="41"/>
    <x v="3"/>
    <x v="0"/>
  </r>
  <r>
    <x v="0"/>
    <x v="1"/>
    <x v="294"/>
    <x v="1"/>
    <n v="49"/>
    <x v="2"/>
    <n v="1"/>
    <n v="1"/>
    <x v="3"/>
    <x v="54"/>
    <x v="6"/>
    <x v="1"/>
  </r>
  <r>
    <x v="0"/>
    <x v="0"/>
    <x v="295"/>
    <x v="1"/>
    <n v="17"/>
    <x v="1"/>
    <n v="0"/>
    <n v="2"/>
    <x v="3"/>
    <x v="54"/>
    <x v="6"/>
    <x v="1"/>
  </r>
  <r>
    <x v="0"/>
    <x v="0"/>
    <x v="296"/>
    <x v="0"/>
    <n v="39"/>
    <x v="4"/>
    <n v="1"/>
    <n v="1"/>
    <x v="3"/>
    <x v="54"/>
    <x v="6"/>
    <x v="1"/>
  </r>
  <r>
    <x v="0"/>
    <x v="0"/>
    <x v="297"/>
    <x v="0"/>
    <s v="Unknown"/>
    <x v="7"/>
    <n v="0"/>
    <n v="0"/>
    <x v="0"/>
    <x v="60"/>
    <x v="3"/>
    <x v="1"/>
  </r>
  <r>
    <x v="0"/>
    <x v="0"/>
    <x v="298"/>
    <x v="1"/>
    <n v="31"/>
    <x v="4"/>
    <n v="0"/>
    <n v="0"/>
    <x v="0"/>
    <x v="100"/>
    <x v="2"/>
    <x v="1"/>
  </r>
  <r>
    <x v="0"/>
    <x v="1"/>
    <x v="299"/>
    <x v="1"/>
    <n v="40"/>
    <x v="4"/>
    <n v="0"/>
    <n v="0"/>
    <x v="0"/>
    <x v="28"/>
    <x v="2"/>
    <x v="1"/>
  </r>
  <r>
    <x v="0"/>
    <x v="1"/>
    <x v="300"/>
    <x v="1"/>
    <n v="61"/>
    <x v="3"/>
    <n v="0"/>
    <n v="0"/>
    <x v="0"/>
    <x v="101"/>
    <x v="2"/>
    <x v="0"/>
  </r>
  <r>
    <x v="0"/>
    <x v="1"/>
    <x v="301"/>
    <x v="1"/>
    <n v="47"/>
    <x v="2"/>
    <n v="0"/>
    <n v="0"/>
    <x v="0"/>
    <x v="102"/>
    <x v="2"/>
    <x v="0"/>
  </r>
  <r>
    <x v="0"/>
    <x v="0"/>
    <x v="302"/>
    <x v="0"/>
    <n v="35"/>
    <x v="4"/>
    <n v="0"/>
    <n v="0"/>
    <x v="0"/>
    <x v="32"/>
    <x v="0"/>
    <x v="1"/>
  </r>
  <r>
    <x v="0"/>
    <x v="1"/>
    <x v="303"/>
    <x v="1"/>
    <n v="64"/>
    <x v="3"/>
    <n v="1"/>
    <n v="0"/>
    <x v="2"/>
    <x v="103"/>
    <x v="3"/>
    <x v="1"/>
  </r>
  <r>
    <x v="0"/>
    <x v="0"/>
    <x v="304"/>
    <x v="0"/>
    <n v="60"/>
    <x v="5"/>
    <n v="1"/>
    <n v="0"/>
    <x v="2"/>
    <x v="103"/>
    <x v="3"/>
    <x v="1"/>
  </r>
  <r>
    <x v="0"/>
    <x v="1"/>
    <x v="305"/>
    <x v="1"/>
    <n v="60"/>
    <x v="5"/>
    <n v="0"/>
    <n v="0"/>
    <x v="0"/>
    <x v="2"/>
    <x v="2"/>
    <x v="0"/>
  </r>
  <r>
    <x v="0"/>
    <x v="1"/>
    <x v="306"/>
    <x v="1"/>
    <n v="54"/>
    <x v="5"/>
    <n v="0"/>
    <n v="1"/>
    <x v="2"/>
    <x v="104"/>
    <x v="3"/>
    <x v="0"/>
  </r>
  <r>
    <x v="0"/>
    <x v="1"/>
    <x v="307"/>
    <x v="1"/>
    <n v="21"/>
    <x v="0"/>
    <n v="0"/>
    <n v="1"/>
    <x v="2"/>
    <x v="104"/>
    <x v="3"/>
    <x v="0"/>
  </r>
  <r>
    <x v="0"/>
    <x v="0"/>
    <x v="308"/>
    <x v="0"/>
    <n v="55"/>
    <x v="5"/>
    <n v="0"/>
    <n v="0"/>
    <x v="0"/>
    <x v="19"/>
    <x v="6"/>
    <x v="1"/>
  </r>
  <r>
    <x v="0"/>
    <x v="0"/>
    <x v="309"/>
    <x v="0"/>
    <n v="31"/>
    <x v="4"/>
    <n v="0"/>
    <n v="2"/>
    <x v="3"/>
    <x v="22"/>
    <x v="1"/>
    <x v="0"/>
  </r>
  <r>
    <x v="0"/>
    <x v="1"/>
    <x v="310"/>
    <x v="1"/>
    <n v="57"/>
    <x v="5"/>
    <n v="1"/>
    <n v="1"/>
    <x v="3"/>
    <x v="22"/>
    <x v="1"/>
    <x v="0"/>
  </r>
  <r>
    <x v="0"/>
    <x v="0"/>
    <x v="311"/>
    <x v="0"/>
    <n v="45"/>
    <x v="2"/>
    <n v="1"/>
    <n v="1"/>
    <x v="3"/>
    <x v="22"/>
    <x v="1"/>
    <x v="0"/>
  </r>
  <r>
    <x v="0"/>
    <x v="1"/>
    <x v="312"/>
    <x v="1"/>
    <n v="50"/>
    <x v="2"/>
    <n v="1"/>
    <n v="1"/>
    <x v="3"/>
    <x v="62"/>
    <x v="0"/>
    <x v="1"/>
  </r>
  <r>
    <x v="0"/>
    <x v="1"/>
    <x v="313"/>
    <x v="1"/>
    <n v="27"/>
    <x v="0"/>
    <n v="0"/>
    <n v="2"/>
    <x v="3"/>
    <x v="62"/>
    <x v="0"/>
    <x v="1"/>
  </r>
  <r>
    <x v="0"/>
    <x v="0"/>
    <x v="314"/>
    <x v="0"/>
    <n v="50"/>
    <x v="2"/>
    <n v="1"/>
    <n v="1"/>
    <x v="3"/>
    <x v="62"/>
    <x v="0"/>
    <x v="1"/>
  </r>
  <r>
    <x v="0"/>
    <x v="0"/>
    <x v="315"/>
    <x v="0"/>
    <n v="21"/>
    <x v="0"/>
    <n v="0"/>
    <n v="0"/>
    <x v="0"/>
    <x v="2"/>
    <x v="2"/>
    <x v="0"/>
  </r>
  <r>
    <x v="0"/>
    <x v="1"/>
    <x v="316"/>
    <x v="1"/>
    <n v="51"/>
    <x v="5"/>
    <n v="0"/>
    <n v="1"/>
    <x v="2"/>
    <x v="105"/>
    <x v="3"/>
    <x v="1"/>
  </r>
  <r>
    <x v="0"/>
    <x v="0"/>
    <x v="317"/>
    <x v="1"/>
    <n v="21"/>
    <x v="0"/>
    <n v="0"/>
    <n v="1"/>
    <x v="2"/>
    <x v="105"/>
    <x v="3"/>
    <x v="1"/>
  </r>
  <r>
    <x v="0"/>
    <x v="1"/>
    <x v="318"/>
    <x v="1"/>
    <s v="Unknown"/>
    <x v="7"/>
    <n v="0"/>
    <n v="0"/>
    <x v="0"/>
    <x v="106"/>
    <x v="2"/>
    <x v="0"/>
  </r>
  <r>
    <x v="0"/>
    <x v="0"/>
    <x v="319"/>
    <x v="0"/>
    <n v="31"/>
    <x v="4"/>
    <n v="0"/>
    <n v="0"/>
    <x v="0"/>
    <x v="29"/>
    <x v="6"/>
    <x v="1"/>
  </r>
  <r>
    <x v="0"/>
    <x v="0"/>
    <x v="320"/>
    <x v="1"/>
    <s v="Unknown"/>
    <x v="7"/>
    <n v="0"/>
    <n v="0"/>
    <x v="0"/>
    <x v="20"/>
    <x v="2"/>
    <x v="0"/>
  </r>
  <r>
    <x v="0"/>
    <x v="1"/>
    <x v="321"/>
    <x v="1"/>
    <n v="62"/>
    <x v="3"/>
    <n v="0"/>
    <n v="0"/>
    <x v="0"/>
    <x v="2"/>
    <x v="2"/>
    <x v="0"/>
  </r>
  <r>
    <x v="0"/>
    <x v="0"/>
    <x v="322"/>
    <x v="0"/>
    <n v="36"/>
    <x v="4"/>
    <n v="0"/>
    <n v="0"/>
    <x v="0"/>
    <x v="19"/>
    <x v="6"/>
    <x v="1"/>
  </r>
  <r>
    <x v="1"/>
    <x v="1"/>
    <x v="323"/>
    <x v="1"/>
    <n v="30"/>
    <x v="0"/>
    <n v="1"/>
    <n v="0"/>
    <x v="2"/>
    <x v="107"/>
    <x v="5"/>
    <x v="1"/>
  </r>
  <r>
    <x v="1"/>
    <x v="0"/>
    <x v="324"/>
    <x v="0"/>
    <n v="28"/>
    <x v="0"/>
    <n v="1"/>
    <n v="0"/>
    <x v="2"/>
    <x v="107"/>
    <x v="5"/>
    <x v="1"/>
  </r>
  <r>
    <x v="1"/>
    <x v="1"/>
    <x v="325"/>
    <x v="1"/>
    <n v="30"/>
    <x v="0"/>
    <n v="0"/>
    <n v="0"/>
    <x v="0"/>
    <x v="108"/>
    <x v="5"/>
    <x v="0"/>
  </r>
  <r>
    <x v="1"/>
    <x v="1"/>
    <x v="326"/>
    <x v="1"/>
    <n v="18"/>
    <x v="1"/>
    <n v="0"/>
    <n v="0"/>
    <x v="0"/>
    <x v="109"/>
    <x v="5"/>
    <x v="0"/>
  </r>
  <r>
    <x v="1"/>
    <x v="1"/>
    <x v="327"/>
    <x v="1"/>
    <n v="25"/>
    <x v="0"/>
    <n v="0"/>
    <n v="0"/>
    <x v="0"/>
    <x v="110"/>
    <x v="5"/>
    <x v="0"/>
  </r>
  <r>
    <x v="1"/>
    <x v="1"/>
    <x v="328"/>
    <x v="1"/>
    <n v="34"/>
    <x v="4"/>
    <n v="1"/>
    <n v="0"/>
    <x v="2"/>
    <x v="17"/>
    <x v="2"/>
    <x v="0"/>
  </r>
  <r>
    <x v="1"/>
    <x v="0"/>
    <x v="329"/>
    <x v="0"/>
    <n v="36"/>
    <x v="4"/>
    <n v="1"/>
    <n v="0"/>
    <x v="2"/>
    <x v="17"/>
    <x v="2"/>
    <x v="0"/>
  </r>
  <r>
    <x v="1"/>
    <x v="1"/>
    <x v="330"/>
    <x v="1"/>
    <n v="57"/>
    <x v="5"/>
    <n v="0"/>
    <n v="0"/>
    <x v="0"/>
    <x v="108"/>
    <x v="5"/>
    <x v="0"/>
  </r>
  <r>
    <x v="1"/>
    <x v="1"/>
    <x v="331"/>
    <x v="1"/>
    <n v="18"/>
    <x v="1"/>
    <n v="0"/>
    <n v="0"/>
    <x v="0"/>
    <x v="109"/>
    <x v="5"/>
    <x v="0"/>
  </r>
  <r>
    <x v="1"/>
    <x v="1"/>
    <x v="332"/>
    <x v="1"/>
    <n v="23"/>
    <x v="0"/>
    <n v="0"/>
    <n v="0"/>
    <x v="0"/>
    <x v="110"/>
    <x v="5"/>
    <x v="0"/>
  </r>
  <r>
    <x v="1"/>
    <x v="0"/>
    <x v="333"/>
    <x v="0"/>
    <n v="36"/>
    <x v="4"/>
    <n v="0"/>
    <n v="0"/>
    <x v="0"/>
    <x v="108"/>
    <x v="5"/>
    <x v="0"/>
  </r>
  <r>
    <x v="1"/>
    <x v="1"/>
    <x v="334"/>
    <x v="1"/>
    <n v="28"/>
    <x v="0"/>
    <n v="0"/>
    <n v="0"/>
    <x v="0"/>
    <x v="110"/>
    <x v="5"/>
    <x v="0"/>
  </r>
  <r>
    <x v="1"/>
    <x v="1"/>
    <x v="335"/>
    <x v="1"/>
    <n v="51"/>
    <x v="5"/>
    <n v="0"/>
    <n v="0"/>
    <x v="0"/>
    <x v="111"/>
    <x v="5"/>
    <x v="0"/>
  </r>
  <r>
    <x v="1"/>
    <x v="0"/>
    <x v="336"/>
    <x v="1"/>
    <n v="32"/>
    <x v="4"/>
    <n v="1"/>
    <n v="0"/>
    <x v="2"/>
    <x v="17"/>
    <x v="2"/>
    <x v="0"/>
  </r>
  <r>
    <x v="1"/>
    <x v="0"/>
    <x v="337"/>
    <x v="0"/>
    <n v="19"/>
    <x v="0"/>
    <n v="1"/>
    <n v="0"/>
    <x v="2"/>
    <x v="17"/>
    <x v="2"/>
    <x v="0"/>
  </r>
  <r>
    <x v="1"/>
    <x v="1"/>
    <x v="338"/>
    <x v="1"/>
    <n v="28"/>
    <x v="0"/>
    <n v="0"/>
    <n v="0"/>
    <x v="0"/>
    <x v="17"/>
    <x v="2"/>
    <x v="0"/>
  </r>
  <r>
    <x v="1"/>
    <x v="0"/>
    <x v="339"/>
    <x v="1"/>
    <n v="1"/>
    <x v="1"/>
    <n v="2"/>
    <n v="1"/>
    <x v="1"/>
    <x v="112"/>
    <x v="2"/>
    <x v="0"/>
  </r>
  <r>
    <x v="1"/>
    <x v="0"/>
    <x v="340"/>
    <x v="0"/>
    <n v="4"/>
    <x v="1"/>
    <n v="2"/>
    <n v="1"/>
    <x v="1"/>
    <x v="112"/>
    <x v="2"/>
    <x v="0"/>
  </r>
  <r>
    <x v="1"/>
    <x v="0"/>
    <x v="341"/>
    <x v="0"/>
    <n v="12"/>
    <x v="1"/>
    <n v="2"/>
    <n v="1"/>
    <x v="1"/>
    <x v="112"/>
    <x v="2"/>
    <x v="0"/>
  </r>
  <r>
    <x v="1"/>
    <x v="0"/>
    <x v="342"/>
    <x v="0"/>
    <n v="36"/>
    <x v="4"/>
    <n v="0"/>
    <n v="3"/>
    <x v="1"/>
    <x v="112"/>
    <x v="2"/>
    <x v="0"/>
  </r>
  <r>
    <x v="1"/>
    <x v="0"/>
    <x v="343"/>
    <x v="1"/>
    <n v="34"/>
    <x v="4"/>
    <n v="0"/>
    <n v="0"/>
    <x v="0"/>
    <x v="108"/>
    <x v="5"/>
    <x v="0"/>
  </r>
  <r>
    <x v="1"/>
    <x v="0"/>
    <x v="344"/>
    <x v="0"/>
    <n v="19"/>
    <x v="0"/>
    <n v="0"/>
    <n v="0"/>
    <x v="0"/>
    <x v="108"/>
    <x v="5"/>
    <x v="0"/>
  </r>
  <r>
    <x v="1"/>
    <x v="1"/>
    <x v="345"/>
    <x v="1"/>
    <n v="23"/>
    <x v="0"/>
    <n v="0"/>
    <n v="0"/>
    <x v="0"/>
    <x v="108"/>
    <x v="5"/>
    <x v="0"/>
  </r>
  <r>
    <x v="1"/>
    <x v="1"/>
    <x v="346"/>
    <x v="1"/>
    <n v="26"/>
    <x v="0"/>
    <n v="0"/>
    <n v="0"/>
    <x v="0"/>
    <x v="108"/>
    <x v="5"/>
    <x v="0"/>
  </r>
  <r>
    <x v="1"/>
    <x v="1"/>
    <x v="347"/>
    <x v="1"/>
    <n v="42"/>
    <x v="2"/>
    <n v="0"/>
    <n v="0"/>
    <x v="0"/>
    <x v="108"/>
    <x v="5"/>
    <x v="0"/>
  </r>
  <r>
    <x v="1"/>
    <x v="1"/>
    <x v="348"/>
    <x v="1"/>
    <n v="27"/>
    <x v="0"/>
    <n v="0"/>
    <n v="0"/>
    <x v="0"/>
    <x v="108"/>
    <x v="5"/>
    <x v="0"/>
  </r>
  <r>
    <x v="1"/>
    <x v="0"/>
    <x v="349"/>
    <x v="0"/>
    <n v="24"/>
    <x v="0"/>
    <n v="0"/>
    <n v="0"/>
    <x v="0"/>
    <x v="108"/>
    <x v="5"/>
    <x v="0"/>
  </r>
  <r>
    <x v="1"/>
    <x v="0"/>
    <x v="350"/>
    <x v="0"/>
    <n v="15"/>
    <x v="1"/>
    <n v="0"/>
    <n v="2"/>
    <x v="3"/>
    <x v="112"/>
    <x v="2"/>
    <x v="0"/>
  </r>
  <r>
    <x v="1"/>
    <x v="1"/>
    <x v="351"/>
    <x v="1"/>
    <n v="60"/>
    <x v="5"/>
    <n v="1"/>
    <n v="1"/>
    <x v="3"/>
    <x v="112"/>
    <x v="2"/>
    <x v="0"/>
  </r>
  <r>
    <x v="1"/>
    <x v="0"/>
    <x v="352"/>
    <x v="0"/>
    <n v="40"/>
    <x v="4"/>
    <n v="1"/>
    <n v="1"/>
    <x v="3"/>
    <x v="112"/>
    <x v="2"/>
    <x v="0"/>
  </r>
  <r>
    <x v="1"/>
    <x v="0"/>
    <x v="353"/>
    <x v="0"/>
    <n v="20"/>
    <x v="0"/>
    <n v="1"/>
    <n v="0"/>
    <x v="2"/>
    <x v="17"/>
    <x v="2"/>
    <x v="0"/>
  </r>
  <r>
    <x v="1"/>
    <x v="1"/>
    <x v="354"/>
    <x v="1"/>
    <n v="25"/>
    <x v="0"/>
    <n v="1"/>
    <n v="0"/>
    <x v="2"/>
    <x v="17"/>
    <x v="2"/>
    <x v="0"/>
  </r>
  <r>
    <x v="1"/>
    <x v="0"/>
    <x v="355"/>
    <x v="0"/>
    <n v="36"/>
    <x v="4"/>
    <n v="0"/>
    <n v="0"/>
    <x v="0"/>
    <x v="108"/>
    <x v="5"/>
    <x v="0"/>
  </r>
  <r>
    <x v="1"/>
    <x v="1"/>
    <x v="356"/>
    <x v="1"/>
    <n v="25"/>
    <x v="0"/>
    <n v="0"/>
    <n v="0"/>
    <x v="0"/>
    <x v="108"/>
    <x v="5"/>
    <x v="0"/>
  </r>
  <r>
    <x v="1"/>
    <x v="1"/>
    <x v="357"/>
    <x v="1"/>
    <n v="42"/>
    <x v="2"/>
    <n v="0"/>
    <n v="0"/>
    <x v="0"/>
    <x v="108"/>
    <x v="5"/>
    <x v="0"/>
  </r>
  <r>
    <x v="1"/>
    <x v="0"/>
    <x v="358"/>
    <x v="0"/>
    <n v="42"/>
    <x v="2"/>
    <n v="0"/>
    <n v="0"/>
    <x v="0"/>
    <x v="108"/>
    <x v="5"/>
    <x v="0"/>
  </r>
  <r>
    <x v="1"/>
    <x v="0"/>
    <x v="359"/>
    <x v="1"/>
    <n v="0.83330000000000004"/>
    <x v="1"/>
    <n v="0"/>
    <n v="2"/>
    <x v="3"/>
    <x v="113"/>
    <x v="2"/>
    <x v="0"/>
  </r>
  <r>
    <x v="1"/>
    <x v="0"/>
    <x v="360"/>
    <x v="1"/>
    <n v="26"/>
    <x v="0"/>
    <n v="1"/>
    <n v="1"/>
    <x v="3"/>
    <x v="113"/>
    <x v="2"/>
    <x v="0"/>
  </r>
  <r>
    <x v="1"/>
    <x v="0"/>
    <x v="361"/>
    <x v="0"/>
    <n v="22"/>
    <x v="0"/>
    <n v="1"/>
    <n v="1"/>
    <x v="3"/>
    <x v="113"/>
    <x v="2"/>
    <x v="0"/>
  </r>
  <r>
    <x v="1"/>
    <x v="0"/>
    <x v="362"/>
    <x v="0"/>
    <n v="35"/>
    <x v="4"/>
    <n v="0"/>
    <n v="0"/>
    <x v="0"/>
    <x v="114"/>
    <x v="5"/>
    <x v="0"/>
  </r>
  <r>
    <x v="1"/>
    <x v="1"/>
    <x v="363"/>
    <x v="1"/>
    <s v="Unknown"/>
    <x v="7"/>
    <n v="0"/>
    <n v="0"/>
    <x v="0"/>
    <x v="4"/>
    <x v="4"/>
    <x v="0"/>
  </r>
  <r>
    <x v="1"/>
    <x v="1"/>
    <x v="364"/>
    <x v="1"/>
    <n v="19"/>
    <x v="0"/>
    <n v="0"/>
    <n v="0"/>
    <x v="0"/>
    <x v="108"/>
    <x v="5"/>
    <x v="0"/>
  </r>
  <r>
    <x v="1"/>
    <x v="1"/>
    <x v="365"/>
    <x v="0"/>
    <n v="44"/>
    <x v="2"/>
    <n v="1"/>
    <n v="0"/>
    <x v="2"/>
    <x v="17"/>
    <x v="2"/>
    <x v="0"/>
  </r>
  <r>
    <x v="1"/>
    <x v="1"/>
    <x v="366"/>
    <x v="1"/>
    <n v="54"/>
    <x v="5"/>
    <n v="1"/>
    <n v="0"/>
    <x v="2"/>
    <x v="17"/>
    <x v="2"/>
    <x v="0"/>
  </r>
  <r>
    <x v="1"/>
    <x v="1"/>
    <x v="367"/>
    <x v="1"/>
    <n v="52"/>
    <x v="5"/>
    <n v="0"/>
    <n v="0"/>
    <x v="0"/>
    <x v="115"/>
    <x v="5"/>
    <x v="0"/>
  </r>
  <r>
    <x v="1"/>
    <x v="1"/>
    <x v="368"/>
    <x v="1"/>
    <n v="37"/>
    <x v="4"/>
    <n v="1"/>
    <n v="0"/>
    <x v="2"/>
    <x v="17"/>
    <x v="2"/>
    <x v="0"/>
  </r>
  <r>
    <x v="1"/>
    <x v="1"/>
    <x v="369"/>
    <x v="0"/>
    <n v="29"/>
    <x v="0"/>
    <n v="1"/>
    <n v="0"/>
    <x v="2"/>
    <x v="17"/>
    <x v="2"/>
    <x v="0"/>
  </r>
  <r>
    <x v="1"/>
    <x v="0"/>
    <x v="370"/>
    <x v="0"/>
    <n v="25"/>
    <x v="0"/>
    <n v="1"/>
    <n v="1"/>
    <x v="3"/>
    <x v="10"/>
    <x v="2"/>
    <x v="0"/>
  </r>
  <r>
    <x v="1"/>
    <x v="0"/>
    <x v="371"/>
    <x v="0"/>
    <n v="45"/>
    <x v="2"/>
    <n v="0"/>
    <n v="2"/>
    <x v="3"/>
    <x v="10"/>
    <x v="2"/>
    <x v="0"/>
  </r>
  <r>
    <x v="1"/>
    <x v="1"/>
    <x v="372"/>
    <x v="1"/>
    <n v="29"/>
    <x v="0"/>
    <n v="1"/>
    <n v="0"/>
    <x v="2"/>
    <x v="17"/>
    <x v="2"/>
    <x v="0"/>
  </r>
  <r>
    <x v="1"/>
    <x v="0"/>
    <x v="373"/>
    <x v="0"/>
    <n v="28"/>
    <x v="0"/>
    <n v="1"/>
    <n v="0"/>
    <x v="2"/>
    <x v="17"/>
    <x v="2"/>
    <x v="0"/>
  </r>
  <r>
    <x v="1"/>
    <x v="1"/>
    <x v="374"/>
    <x v="1"/>
    <n v="29"/>
    <x v="0"/>
    <n v="0"/>
    <n v="0"/>
    <x v="0"/>
    <x v="110"/>
    <x v="5"/>
    <x v="0"/>
  </r>
  <r>
    <x v="1"/>
    <x v="1"/>
    <x v="375"/>
    <x v="1"/>
    <n v="28"/>
    <x v="0"/>
    <n v="0"/>
    <n v="0"/>
    <x v="0"/>
    <x v="108"/>
    <x v="5"/>
    <x v="0"/>
  </r>
  <r>
    <x v="1"/>
    <x v="0"/>
    <x v="376"/>
    <x v="1"/>
    <n v="24"/>
    <x v="0"/>
    <n v="0"/>
    <n v="0"/>
    <x v="0"/>
    <x v="110"/>
    <x v="5"/>
    <x v="0"/>
  </r>
  <r>
    <x v="1"/>
    <x v="0"/>
    <x v="377"/>
    <x v="0"/>
    <n v="8"/>
    <x v="1"/>
    <n v="0"/>
    <n v="2"/>
    <x v="3"/>
    <x v="116"/>
    <x v="2"/>
    <x v="0"/>
  </r>
  <r>
    <x v="1"/>
    <x v="1"/>
    <x v="378"/>
    <x v="1"/>
    <n v="31"/>
    <x v="4"/>
    <n v="1"/>
    <n v="1"/>
    <x v="3"/>
    <x v="116"/>
    <x v="2"/>
    <x v="0"/>
  </r>
  <r>
    <x v="1"/>
    <x v="0"/>
    <x v="379"/>
    <x v="0"/>
    <n v="31"/>
    <x v="4"/>
    <n v="1"/>
    <n v="1"/>
    <x v="3"/>
    <x v="116"/>
    <x v="2"/>
    <x v="0"/>
  </r>
  <r>
    <x v="1"/>
    <x v="0"/>
    <x v="380"/>
    <x v="0"/>
    <n v="22"/>
    <x v="0"/>
    <n v="0"/>
    <n v="0"/>
    <x v="0"/>
    <x v="110"/>
    <x v="5"/>
    <x v="0"/>
  </r>
  <r>
    <x v="1"/>
    <x v="1"/>
    <x v="381"/>
    <x v="0"/>
    <n v="30"/>
    <x v="0"/>
    <n v="0"/>
    <n v="0"/>
    <x v="0"/>
    <x v="108"/>
    <x v="5"/>
    <x v="0"/>
  </r>
  <r>
    <x v="1"/>
    <x v="1"/>
    <x v="382"/>
    <x v="0"/>
    <s v="Unknown"/>
    <x v="7"/>
    <n v="0"/>
    <n v="0"/>
    <x v="0"/>
    <x v="114"/>
    <x v="5"/>
    <x v="0"/>
  </r>
  <r>
    <x v="1"/>
    <x v="1"/>
    <x v="383"/>
    <x v="1"/>
    <n v="21"/>
    <x v="0"/>
    <n v="0"/>
    <n v="0"/>
    <x v="0"/>
    <x v="109"/>
    <x v="5"/>
    <x v="0"/>
  </r>
  <r>
    <x v="1"/>
    <x v="1"/>
    <x v="384"/>
    <x v="1"/>
    <s v="Unknown"/>
    <x v="7"/>
    <n v="0"/>
    <n v="0"/>
    <x v="0"/>
    <x v="4"/>
    <x v="4"/>
    <x v="0"/>
  </r>
  <r>
    <x v="1"/>
    <x v="0"/>
    <x v="385"/>
    <x v="1"/>
    <n v="8"/>
    <x v="1"/>
    <n v="1"/>
    <n v="1"/>
    <x v="3"/>
    <x v="117"/>
    <x v="2"/>
    <x v="0"/>
  </r>
  <r>
    <x v="1"/>
    <x v="1"/>
    <x v="386"/>
    <x v="1"/>
    <n v="18"/>
    <x v="1"/>
    <n v="0"/>
    <n v="0"/>
    <x v="0"/>
    <x v="118"/>
    <x v="3"/>
    <x v="0"/>
  </r>
  <r>
    <x v="1"/>
    <x v="0"/>
    <x v="387"/>
    <x v="0"/>
    <n v="48"/>
    <x v="2"/>
    <n v="0"/>
    <n v="2"/>
    <x v="3"/>
    <x v="117"/>
    <x v="2"/>
    <x v="0"/>
  </r>
  <r>
    <x v="1"/>
    <x v="0"/>
    <x v="388"/>
    <x v="0"/>
    <n v="28"/>
    <x v="0"/>
    <n v="0"/>
    <n v="0"/>
    <x v="0"/>
    <x v="108"/>
    <x v="5"/>
    <x v="0"/>
  </r>
  <r>
    <x v="1"/>
    <x v="1"/>
    <x v="389"/>
    <x v="1"/>
    <n v="32"/>
    <x v="4"/>
    <n v="0"/>
    <n v="0"/>
    <x v="0"/>
    <x v="108"/>
    <x v="5"/>
    <x v="0"/>
  </r>
  <r>
    <x v="1"/>
    <x v="1"/>
    <x v="390"/>
    <x v="1"/>
    <n v="17"/>
    <x v="1"/>
    <n v="0"/>
    <n v="0"/>
    <x v="0"/>
    <x v="118"/>
    <x v="3"/>
    <x v="0"/>
  </r>
  <r>
    <x v="1"/>
    <x v="1"/>
    <x v="391"/>
    <x v="1"/>
    <n v="29"/>
    <x v="0"/>
    <n v="1"/>
    <n v="0"/>
    <x v="2"/>
    <x v="28"/>
    <x v="2"/>
    <x v="1"/>
  </r>
  <r>
    <x v="1"/>
    <x v="0"/>
    <x v="392"/>
    <x v="0"/>
    <n v="24"/>
    <x v="0"/>
    <n v="1"/>
    <n v="0"/>
    <x v="2"/>
    <x v="28"/>
    <x v="2"/>
    <x v="1"/>
  </r>
  <r>
    <x v="1"/>
    <x v="1"/>
    <x v="393"/>
    <x v="1"/>
    <n v="25"/>
    <x v="0"/>
    <n v="0"/>
    <n v="0"/>
    <x v="0"/>
    <x v="119"/>
    <x v="2"/>
    <x v="0"/>
  </r>
  <r>
    <x v="1"/>
    <x v="1"/>
    <x v="394"/>
    <x v="1"/>
    <n v="18"/>
    <x v="1"/>
    <n v="0"/>
    <n v="0"/>
    <x v="0"/>
    <x v="118"/>
    <x v="3"/>
    <x v="0"/>
  </r>
  <r>
    <x v="1"/>
    <x v="0"/>
    <x v="395"/>
    <x v="0"/>
    <n v="18"/>
    <x v="1"/>
    <n v="0"/>
    <n v="1"/>
    <x v="2"/>
    <x v="120"/>
    <x v="5"/>
    <x v="0"/>
  </r>
  <r>
    <x v="1"/>
    <x v="0"/>
    <x v="396"/>
    <x v="0"/>
    <n v="34"/>
    <x v="4"/>
    <n v="0"/>
    <n v="1"/>
    <x v="2"/>
    <x v="120"/>
    <x v="5"/>
    <x v="0"/>
  </r>
  <r>
    <x v="1"/>
    <x v="1"/>
    <x v="397"/>
    <x v="1"/>
    <n v="54"/>
    <x v="5"/>
    <n v="0"/>
    <n v="0"/>
    <x v="0"/>
    <x v="17"/>
    <x v="2"/>
    <x v="0"/>
  </r>
  <r>
    <x v="1"/>
    <x v="0"/>
    <x v="398"/>
    <x v="1"/>
    <n v="8"/>
    <x v="1"/>
    <n v="0"/>
    <n v="2"/>
    <x v="3"/>
    <x v="121"/>
    <x v="2"/>
    <x v="0"/>
  </r>
  <r>
    <x v="1"/>
    <x v="1"/>
    <x v="399"/>
    <x v="1"/>
    <n v="42"/>
    <x v="2"/>
    <n v="1"/>
    <n v="1"/>
    <x v="3"/>
    <x v="121"/>
    <x v="2"/>
    <x v="0"/>
  </r>
  <r>
    <x v="1"/>
    <x v="0"/>
    <x v="400"/>
    <x v="0"/>
    <n v="34"/>
    <x v="4"/>
    <n v="1"/>
    <n v="1"/>
    <x v="3"/>
    <x v="121"/>
    <x v="2"/>
    <x v="0"/>
  </r>
  <r>
    <x v="1"/>
    <x v="0"/>
    <x v="401"/>
    <x v="0"/>
    <n v="27"/>
    <x v="0"/>
    <n v="1"/>
    <n v="0"/>
    <x v="2"/>
    <x v="122"/>
    <x v="5"/>
    <x v="1"/>
  </r>
  <r>
    <x v="1"/>
    <x v="0"/>
    <x v="402"/>
    <x v="0"/>
    <n v="30"/>
    <x v="0"/>
    <n v="1"/>
    <n v="0"/>
    <x v="2"/>
    <x v="122"/>
    <x v="5"/>
    <x v="1"/>
  </r>
  <r>
    <x v="1"/>
    <x v="1"/>
    <x v="403"/>
    <x v="1"/>
    <n v="23"/>
    <x v="0"/>
    <n v="0"/>
    <n v="0"/>
    <x v="0"/>
    <x v="108"/>
    <x v="5"/>
    <x v="0"/>
  </r>
  <r>
    <x v="1"/>
    <x v="1"/>
    <x v="404"/>
    <x v="1"/>
    <n v="21"/>
    <x v="0"/>
    <n v="0"/>
    <n v="0"/>
    <x v="0"/>
    <x v="108"/>
    <x v="5"/>
    <x v="0"/>
  </r>
  <r>
    <x v="1"/>
    <x v="1"/>
    <x v="405"/>
    <x v="1"/>
    <n v="18"/>
    <x v="1"/>
    <n v="0"/>
    <n v="0"/>
    <x v="0"/>
    <x v="108"/>
    <x v="5"/>
    <x v="0"/>
  </r>
  <r>
    <x v="1"/>
    <x v="1"/>
    <x v="406"/>
    <x v="1"/>
    <n v="40"/>
    <x v="4"/>
    <n v="1"/>
    <n v="0"/>
    <x v="2"/>
    <x v="17"/>
    <x v="2"/>
    <x v="0"/>
  </r>
  <r>
    <x v="1"/>
    <x v="0"/>
    <x v="407"/>
    <x v="0"/>
    <n v="29"/>
    <x v="0"/>
    <n v="1"/>
    <n v="0"/>
    <x v="2"/>
    <x v="17"/>
    <x v="2"/>
    <x v="0"/>
  </r>
  <r>
    <x v="1"/>
    <x v="1"/>
    <x v="408"/>
    <x v="1"/>
    <n v="18"/>
    <x v="1"/>
    <n v="0"/>
    <n v="0"/>
    <x v="0"/>
    <x v="110"/>
    <x v="5"/>
    <x v="0"/>
  </r>
  <r>
    <x v="1"/>
    <x v="1"/>
    <x v="409"/>
    <x v="1"/>
    <n v="36"/>
    <x v="4"/>
    <n v="0"/>
    <n v="0"/>
    <x v="0"/>
    <x v="108"/>
    <x v="5"/>
    <x v="0"/>
  </r>
  <r>
    <x v="1"/>
    <x v="1"/>
    <x v="410"/>
    <x v="1"/>
    <s v="Unknown"/>
    <x v="7"/>
    <n v="0"/>
    <n v="0"/>
    <x v="0"/>
    <x v="4"/>
    <x v="4"/>
    <x v="0"/>
  </r>
  <r>
    <x v="1"/>
    <x v="1"/>
    <x v="411"/>
    <x v="0"/>
    <n v="38"/>
    <x v="4"/>
    <n v="0"/>
    <n v="0"/>
    <x v="0"/>
    <x v="108"/>
    <x v="5"/>
    <x v="0"/>
  </r>
  <r>
    <x v="1"/>
    <x v="1"/>
    <x v="412"/>
    <x v="1"/>
    <n v="35"/>
    <x v="4"/>
    <n v="0"/>
    <n v="0"/>
    <x v="0"/>
    <x v="17"/>
    <x v="2"/>
    <x v="0"/>
  </r>
  <r>
    <x v="1"/>
    <x v="1"/>
    <x v="413"/>
    <x v="1"/>
    <n v="38"/>
    <x v="4"/>
    <n v="1"/>
    <n v="0"/>
    <x v="2"/>
    <x v="114"/>
    <x v="5"/>
    <x v="0"/>
  </r>
  <r>
    <x v="1"/>
    <x v="1"/>
    <x v="414"/>
    <x v="1"/>
    <n v="34"/>
    <x v="4"/>
    <n v="1"/>
    <n v="0"/>
    <x v="2"/>
    <x v="114"/>
    <x v="5"/>
    <x v="0"/>
  </r>
  <r>
    <x v="1"/>
    <x v="0"/>
    <x v="415"/>
    <x v="0"/>
    <n v="34"/>
    <x v="4"/>
    <n v="0"/>
    <n v="0"/>
    <x v="0"/>
    <x v="108"/>
    <x v="5"/>
    <x v="0"/>
  </r>
  <r>
    <x v="1"/>
    <x v="1"/>
    <x v="416"/>
    <x v="1"/>
    <n v="16"/>
    <x v="1"/>
    <n v="0"/>
    <n v="0"/>
    <x v="0"/>
    <x v="17"/>
    <x v="2"/>
    <x v="0"/>
  </r>
  <r>
    <x v="1"/>
    <x v="1"/>
    <x v="417"/>
    <x v="1"/>
    <n v="26"/>
    <x v="0"/>
    <n v="0"/>
    <n v="0"/>
    <x v="0"/>
    <x v="110"/>
    <x v="5"/>
    <x v="0"/>
  </r>
  <r>
    <x v="1"/>
    <x v="1"/>
    <x v="418"/>
    <x v="1"/>
    <n v="47"/>
    <x v="2"/>
    <n v="0"/>
    <n v="0"/>
    <x v="0"/>
    <x v="110"/>
    <x v="5"/>
    <x v="0"/>
  </r>
  <r>
    <x v="1"/>
    <x v="1"/>
    <x v="419"/>
    <x v="1"/>
    <n v="21"/>
    <x v="0"/>
    <n v="1"/>
    <n v="0"/>
    <x v="2"/>
    <x v="109"/>
    <x v="5"/>
    <x v="0"/>
  </r>
  <r>
    <x v="1"/>
    <x v="1"/>
    <x v="420"/>
    <x v="1"/>
    <n v="21"/>
    <x v="0"/>
    <n v="1"/>
    <n v="0"/>
    <x v="2"/>
    <x v="109"/>
    <x v="5"/>
    <x v="0"/>
  </r>
  <r>
    <x v="1"/>
    <x v="1"/>
    <x v="421"/>
    <x v="1"/>
    <n v="24"/>
    <x v="0"/>
    <n v="0"/>
    <n v="0"/>
    <x v="0"/>
    <x v="115"/>
    <x v="5"/>
    <x v="0"/>
  </r>
  <r>
    <x v="1"/>
    <x v="1"/>
    <x v="422"/>
    <x v="1"/>
    <n v="24"/>
    <x v="0"/>
    <n v="0"/>
    <n v="0"/>
    <x v="0"/>
    <x v="108"/>
    <x v="5"/>
    <x v="0"/>
  </r>
  <r>
    <x v="1"/>
    <x v="1"/>
    <x v="423"/>
    <x v="1"/>
    <n v="34"/>
    <x v="4"/>
    <n v="0"/>
    <n v="0"/>
    <x v="0"/>
    <x v="108"/>
    <x v="5"/>
    <x v="0"/>
  </r>
  <r>
    <x v="1"/>
    <x v="1"/>
    <x v="424"/>
    <x v="1"/>
    <n v="30"/>
    <x v="0"/>
    <n v="0"/>
    <n v="0"/>
    <x v="0"/>
    <x v="108"/>
    <x v="5"/>
    <x v="0"/>
  </r>
  <r>
    <x v="1"/>
    <x v="1"/>
    <x v="425"/>
    <x v="1"/>
    <n v="52"/>
    <x v="5"/>
    <n v="0"/>
    <n v="0"/>
    <x v="0"/>
    <x v="108"/>
    <x v="5"/>
    <x v="0"/>
  </r>
  <r>
    <x v="1"/>
    <x v="1"/>
    <x v="426"/>
    <x v="1"/>
    <n v="30"/>
    <x v="0"/>
    <n v="0"/>
    <n v="0"/>
    <x v="0"/>
    <x v="108"/>
    <x v="5"/>
    <x v="0"/>
  </r>
  <r>
    <x v="1"/>
    <x v="0"/>
    <x v="427"/>
    <x v="1"/>
    <n v="0.66669999999999996"/>
    <x v="1"/>
    <n v="1"/>
    <n v="1"/>
    <x v="3"/>
    <x v="123"/>
    <x v="5"/>
    <x v="0"/>
  </r>
  <r>
    <x v="1"/>
    <x v="0"/>
    <x v="428"/>
    <x v="0"/>
    <n v="24"/>
    <x v="0"/>
    <n v="0"/>
    <n v="2"/>
    <x v="3"/>
    <x v="123"/>
    <x v="5"/>
    <x v="0"/>
  </r>
  <r>
    <x v="1"/>
    <x v="1"/>
    <x v="429"/>
    <x v="1"/>
    <n v="44"/>
    <x v="2"/>
    <n v="0"/>
    <n v="0"/>
    <x v="0"/>
    <x v="108"/>
    <x v="5"/>
    <x v="0"/>
  </r>
  <r>
    <x v="1"/>
    <x v="0"/>
    <x v="430"/>
    <x v="0"/>
    <n v="6"/>
    <x v="1"/>
    <n v="0"/>
    <n v="1"/>
    <x v="2"/>
    <x v="124"/>
    <x v="2"/>
    <x v="0"/>
  </r>
  <r>
    <x v="1"/>
    <x v="1"/>
    <x v="431"/>
    <x v="1"/>
    <n v="28"/>
    <x v="0"/>
    <n v="0"/>
    <n v="1"/>
    <x v="2"/>
    <x v="124"/>
    <x v="2"/>
    <x v="0"/>
  </r>
  <r>
    <x v="1"/>
    <x v="0"/>
    <x v="432"/>
    <x v="1"/>
    <n v="62"/>
    <x v="3"/>
    <n v="0"/>
    <n v="0"/>
    <x v="0"/>
    <x v="110"/>
    <x v="5"/>
    <x v="0"/>
  </r>
  <r>
    <x v="1"/>
    <x v="1"/>
    <x v="433"/>
    <x v="1"/>
    <n v="30"/>
    <x v="0"/>
    <n v="0"/>
    <n v="0"/>
    <x v="0"/>
    <x v="110"/>
    <x v="5"/>
    <x v="0"/>
  </r>
  <r>
    <x v="1"/>
    <x v="0"/>
    <x v="434"/>
    <x v="0"/>
    <n v="7"/>
    <x v="1"/>
    <n v="0"/>
    <n v="2"/>
    <x v="3"/>
    <x v="116"/>
    <x v="2"/>
    <x v="0"/>
  </r>
  <r>
    <x v="1"/>
    <x v="1"/>
    <x v="435"/>
    <x v="1"/>
    <n v="43"/>
    <x v="2"/>
    <n v="1"/>
    <n v="1"/>
    <x v="3"/>
    <x v="116"/>
    <x v="2"/>
    <x v="0"/>
  </r>
  <r>
    <x v="1"/>
    <x v="0"/>
    <x v="436"/>
    <x v="0"/>
    <n v="45"/>
    <x v="2"/>
    <n v="1"/>
    <n v="1"/>
    <x v="3"/>
    <x v="116"/>
    <x v="2"/>
    <x v="0"/>
  </r>
  <r>
    <x v="1"/>
    <x v="0"/>
    <x v="437"/>
    <x v="0"/>
    <n v="24"/>
    <x v="0"/>
    <n v="1"/>
    <n v="2"/>
    <x v="1"/>
    <x v="125"/>
    <x v="3"/>
    <x v="0"/>
  </r>
  <r>
    <x v="1"/>
    <x v="0"/>
    <x v="438"/>
    <x v="0"/>
    <n v="24"/>
    <x v="0"/>
    <n v="1"/>
    <n v="2"/>
    <x v="1"/>
    <x v="125"/>
    <x v="3"/>
    <x v="0"/>
  </r>
  <r>
    <x v="1"/>
    <x v="1"/>
    <x v="439"/>
    <x v="1"/>
    <n v="49"/>
    <x v="2"/>
    <n v="1"/>
    <n v="2"/>
    <x v="1"/>
    <x v="125"/>
    <x v="3"/>
    <x v="0"/>
  </r>
  <r>
    <x v="1"/>
    <x v="0"/>
    <x v="440"/>
    <x v="0"/>
    <n v="48"/>
    <x v="2"/>
    <n v="1"/>
    <n v="2"/>
    <x v="1"/>
    <x v="125"/>
    <x v="3"/>
    <x v="0"/>
  </r>
  <r>
    <x v="1"/>
    <x v="0"/>
    <x v="441"/>
    <x v="0"/>
    <n v="55"/>
    <x v="5"/>
    <n v="0"/>
    <n v="0"/>
    <x v="0"/>
    <x v="126"/>
    <x v="5"/>
    <x v="0"/>
  </r>
  <r>
    <x v="1"/>
    <x v="1"/>
    <x v="442"/>
    <x v="1"/>
    <n v="24"/>
    <x v="0"/>
    <n v="2"/>
    <n v="0"/>
    <x v="3"/>
    <x v="118"/>
    <x v="3"/>
    <x v="0"/>
  </r>
  <r>
    <x v="1"/>
    <x v="1"/>
    <x v="443"/>
    <x v="1"/>
    <n v="32"/>
    <x v="4"/>
    <n v="2"/>
    <n v="0"/>
    <x v="3"/>
    <x v="118"/>
    <x v="3"/>
    <x v="0"/>
  </r>
  <r>
    <x v="1"/>
    <x v="1"/>
    <x v="444"/>
    <x v="1"/>
    <n v="21"/>
    <x v="0"/>
    <n v="2"/>
    <n v="0"/>
    <x v="3"/>
    <x v="118"/>
    <x v="3"/>
    <x v="0"/>
  </r>
  <r>
    <x v="1"/>
    <x v="1"/>
    <x v="445"/>
    <x v="0"/>
    <n v="18"/>
    <x v="1"/>
    <n v="1"/>
    <n v="1"/>
    <x v="3"/>
    <x v="108"/>
    <x v="5"/>
    <x v="0"/>
  </r>
  <r>
    <x v="1"/>
    <x v="0"/>
    <x v="446"/>
    <x v="0"/>
    <n v="20"/>
    <x v="0"/>
    <n v="2"/>
    <n v="1"/>
    <x v="1"/>
    <x v="120"/>
    <x v="5"/>
    <x v="0"/>
  </r>
  <r>
    <x v="1"/>
    <x v="1"/>
    <x v="447"/>
    <x v="1"/>
    <n v="23"/>
    <x v="0"/>
    <n v="2"/>
    <n v="1"/>
    <x v="1"/>
    <x v="109"/>
    <x v="5"/>
    <x v="0"/>
  </r>
  <r>
    <x v="1"/>
    <x v="1"/>
    <x v="448"/>
    <x v="1"/>
    <n v="36"/>
    <x v="4"/>
    <n v="0"/>
    <n v="0"/>
    <x v="0"/>
    <x v="108"/>
    <x v="5"/>
    <x v="0"/>
  </r>
  <r>
    <x v="1"/>
    <x v="0"/>
    <x v="449"/>
    <x v="0"/>
    <n v="54"/>
    <x v="5"/>
    <n v="1"/>
    <n v="3"/>
    <x v="5"/>
    <x v="120"/>
    <x v="5"/>
    <x v="0"/>
  </r>
  <r>
    <x v="1"/>
    <x v="1"/>
    <x v="450"/>
    <x v="1"/>
    <n v="50"/>
    <x v="2"/>
    <n v="0"/>
    <n v="0"/>
    <x v="0"/>
    <x v="108"/>
    <x v="5"/>
    <x v="0"/>
  </r>
  <r>
    <x v="1"/>
    <x v="1"/>
    <x v="451"/>
    <x v="1"/>
    <n v="44"/>
    <x v="2"/>
    <n v="1"/>
    <n v="0"/>
    <x v="2"/>
    <x v="17"/>
    <x v="2"/>
    <x v="0"/>
  </r>
  <r>
    <x v="1"/>
    <x v="0"/>
    <x v="452"/>
    <x v="0"/>
    <n v="29"/>
    <x v="0"/>
    <n v="1"/>
    <n v="0"/>
    <x v="2"/>
    <x v="17"/>
    <x v="2"/>
    <x v="0"/>
  </r>
  <r>
    <x v="1"/>
    <x v="1"/>
    <x v="453"/>
    <x v="1"/>
    <n v="21"/>
    <x v="0"/>
    <n v="0"/>
    <n v="0"/>
    <x v="0"/>
    <x v="118"/>
    <x v="3"/>
    <x v="0"/>
  </r>
  <r>
    <x v="1"/>
    <x v="0"/>
    <x v="454"/>
    <x v="1"/>
    <n v="42"/>
    <x v="2"/>
    <n v="0"/>
    <n v="0"/>
    <x v="0"/>
    <x v="108"/>
    <x v="5"/>
    <x v="0"/>
  </r>
  <r>
    <x v="1"/>
    <x v="1"/>
    <x v="455"/>
    <x v="1"/>
    <n v="63"/>
    <x v="3"/>
    <n v="1"/>
    <n v="0"/>
    <x v="2"/>
    <x v="17"/>
    <x v="2"/>
    <x v="0"/>
  </r>
  <r>
    <x v="1"/>
    <x v="1"/>
    <x v="456"/>
    <x v="0"/>
    <n v="60"/>
    <x v="5"/>
    <n v="1"/>
    <n v="0"/>
    <x v="2"/>
    <x v="17"/>
    <x v="2"/>
    <x v="0"/>
  </r>
  <r>
    <x v="1"/>
    <x v="1"/>
    <x v="457"/>
    <x v="1"/>
    <n v="33"/>
    <x v="4"/>
    <n v="0"/>
    <n v="0"/>
    <x v="0"/>
    <x v="127"/>
    <x v="5"/>
    <x v="0"/>
  </r>
  <r>
    <x v="1"/>
    <x v="0"/>
    <x v="458"/>
    <x v="0"/>
    <n v="17"/>
    <x v="1"/>
    <n v="0"/>
    <n v="0"/>
    <x v="0"/>
    <x v="110"/>
    <x v="5"/>
    <x v="0"/>
  </r>
  <r>
    <x v="1"/>
    <x v="1"/>
    <x v="459"/>
    <x v="1"/>
    <n v="42"/>
    <x v="2"/>
    <n v="1"/>
    <n v="0"/>
    <x v="2"/>
    <x v="128"/>
    <x v="2"/>
    <x v="0"/>
  </r>
  <r>
    <x v="1"/>
    <x v="0"/>
    <x v="460"/>
    <x v="0"/>
    <n v="24"/>
    <x v="0"/>
    <n v="2"/>
    <n v="1"/>
    <x v="1"/>
    <x v="128"/>
    <x v="2"/>
    <x v="0"/>
  </r>
  <r>
    <x v="1"/>
    <x v="1"/>
    <x v="461"/>
    <x v="1"/>
    <n v="47"/>
    <x v="2"/>
    <n v="0"/>
    <n v="0"/>
    <x v="0"/>
    <x v="129"/>
    <x v="5"/>
    <x v="0"/>
  </r>
  <r>
    <x v="1"/>
    <x v="1"/>
    <x v="462"/>
    <x v="1"/>
    <n v="24"/>
    <x v="0"/>
    <n v="2"/>
    <n v="0"/>
    <x v="3"/>
    <x v="119"/>
    <x v="2"/>
    <x v="0"/>
  </r>
  <r>
    <x v="1"/>
    <x v="1"/>
    <x v="463"/>
    <x v="1"/>
    <n v="22"/>
    <x v="0"/>
    <n v="2"/>
    <n v="0"/>
    <x v="3"/>
    <x v="119"/>
    <x v="2"/>
    <x v="0"/>
  </r>
  <r>
    <x v="1"/>
    <x v="1"/>
    <x v="464"/>
    <x v="1"/>
    <n v="32"/>
    <x v="4"/>
    <n v="0"/>
    <n v="0"/>
    <x v="0"/>
    <x v="110"/>
    <x v="5"/>
    <x v="0"/>
  </r>
  <r>
    <x v="1"/>
    <x v="0"/>
    <x v="465"/>
    <x v="0"/>
    <n v="23"/>
    <x v="0"/>
    <n v="0"/>
    <n v="0"/>
    <x v="0"/>
    <x v="130"/>
    <x v="5"/>
    <x v="1"/>
  </r>
  <r>
    <x v="1"/>
    <x v="1"/>
    <x v="466"/>
    <x v="1"/>
    <n v="34"/>
    <x v="4"/>
    <n v="1"/>
    <n v="0"/>
    <x v="2"/>
    <x v="17"/>
    <x v="2"/>
    <x v="0"/>
  </r>
  <r>
    <x v="1"/>
    <x v="0"/>
    <x v="467"/>
    <x v="0"/>
    <n v="24"/>
    <x v="0"/>
    <n v="1"/>
    <n v="0"/>
    <x v="2"/>
    <x v="17"/>
    <x v="2"/>
    <x v="0"/>
  </r>
  <r>
    <x v="1"/>
    <x v="1"/>
    <x v="468"/>
    <x v="0"/>
    <n v="22"/>
    <x v="0"/>
    <n v="0"/>
    <n v="0"/>
    <x v="0"/>
    <x v="114"/>
    <x v="5"/>
    <x v="0"/>
  </r>
  <r>
    <x v="1"/>
    <x v="0"/>
    <x v="469"/>
    <x v="0"/>
    <s v="Unknown"/>
    <x v="7"/>
    <n v="0"/>
    <n v="0"/>
    <x v="0"/>
    <x v="131"/>
    <x v="5"/>
    <x v="3"/>
  </r>
  <r>
    <x v="1"/>
    <x v="1"/>
    <x v="470"/>
    <x v="1"/>
    <n v="35"/>
    <x v="4"/>
    <n v="0"/>
    <n v="0"/>
    <x v="0"/>
    <x v="131"/>
    <x v="5"/>
    <x v="3"/>
  </r>
  <r>
    <x v="1"/>
    <x v="0"/>
    <x v="471"/>
    <x v="0"/>
    <n v="45"/>
    <x v="2"/>
    <n v="0"/>
    <n v="0"/>
    <x v="0"/>
    <x v="115"/>
    <x v="5"/>
    <x v="0"/>
  </r>
  <r>
    <x v="1"/>
    <x v="1"/>
    <x v="472"/>
    <x v="1"/>
    <n v="57"/>
    <x v="5"/>
    <n v="0"/>
    <n v="0"/>
    <x v="0"/>
    <x v="131"/>
    <x v="5"/>
    <x v="3"/>
  </r>
  <r>
    <x v="1"/>
    <x v="1"/>
    <x v="473"/>
    <x v="1"/>
    <s v="Unknown"/>
    <x v="7"/>
    <n v="0"/>
    <n v="0"/>
    <x v="0"/>
    <x v="4"/>
    <x v="4"/>
    <x v="0"/>
  </r>
  <r>
    <x v="1"/>
    <x v="1"/>
    <x v="474"/>
    <x v="1"/>
    <n v="31"/>
    <x v="4"/>
    <n v="0"/>
    <n v="0"/>
    <x v="0"/>
    <x v="110"/>
    <x v="5"/>
    <x v="0"/>
  </r>
  <r>
    <x v="1"/>
    <x v="1"/>
    <x v="475"/>
    <x v="0"/>
    <n v="26"/>
    <x v="0"/>
    <n v="1"/>
    <n v="1"/>
    <x v="3"/>
    <x v="17"/>
    <x v="2"/>
    <x v="0"/>
  </r>
  <r>
    <x v="1"/>
    <x v="1"/>
    <x v="476"/>
    <x v="1"/>
    <n v="30"/>
    <x v="0"/>
    <n v="1"/>
    <n v="1"/>
    <x v="3"/>
    <x v="17"/>
    <x v="2"/>
    <x v="0"/>
  </r>
  <r>
    <x v="1"/>
    <x v="1"/>
    <x v="477"/>
    <x v="1"/>
    <s v="Unknown"/>
    <x v="7"/>
    <n v="0"/>
    <n v="0"/>
    <x v="0"/>
    <x v="132"/>
    <x v="5"/>
    <x v="3"/>
  </r>
  <r>
    <x v="1"/>
    <x v="0"/>
    <x v="478"/>
    <x v="0"/>
    <n v="1"/>
    <x v="1"/>
    <n v="1"/>
    <n v="2"/>
    <x v="1"/>
    <x v="133"/>
    <x v="2"/>
    <x v="1"/>
  </r>
  <r>
    <x v="1"/>
    <x v="0"/>
    <x v="479"/>
    <x v="0"/>
    <n v="3"/>
    <x v="1"/>
    <n v="1"/>
    <n v="2"/>
    <x v="1"/>
    <x v="133"/>
    <x v="2"/>
    <x v="1"/>
  </r>
  <r>
    <x v="1"/>
    <x v="1"/>
    <x v="480"/>
    <x v="1"/>
    <n v="25"/>
    <x v="0"/>
    <n v="1"/>
    <n v="2"/>
    <x v="1"/>
    <x v="133"/>
    <x v="2"/>
    <x v="1"/>
  </r>
  <r>
    <x v="1"/>
    <x v="0"/>
    <x v="481"/>
    <x v="0"/>
    <n v="22"/>
    <x v="0"/>
    <n v="1"/>
    <n v="2"/>
    <x v="1"/>
    <x v="133"/>
    <x v="2"/>
    <x v="1"/>
  </r>
  <r>
    <x v="1"/>
    <x v="0"/>
    <x v="482"/>
    <x v="0"/>
    <n v="17"/>
    <x v="1"/>
    <n v="0"/>
    <n v="0"/>
    <x v="0"/>
    <x v="134"/>
    <x v="5"/>
    <x v="1"/>
  </r>
  <r>
    <x v="1"/>
    <x v="0"/>
    <x v="483"/>
    <x v="0"/>
    <s v="Unknown"/>
    <x v="7"/>
    <n v="0"/>
    <n v="0"/>
    <x v="0"/>
    <x v="124"/>
    <x v="2"/>
    <x v="0"/>
  </r>
  <r>
    <x v="1"/>
    <x v="0"/>
    <x v="484"/>
    <x v="0"/>
    <n v="34"/>
    <x v="4"/>
    <n v="0"/>
    <n v="0"/>
    <x v="0"/>
    <x v="110"/>
    <x v="5"/>
    <x v="0"/>
  </r>
  <r>
    <x v="1"/>
    <x v="1"/>
    <x v="485"/>
    <x v="1"/>
    <n v="36"/>
    <x v="4"/>
    <n v="0"/>
    <n v="0"/>
    <x v="0"/>
    <x v="135"/>
    <x v="5"/>
    <x v="1"/>
  </r>
  <r>
    <x v="1"/>
    <x v="1"/>
    <x v="486"/>
    <x v="1"/>
    <n v="24"/>
    <x v="0"/>
    <n v="0"/>
    <n v="0"/>
    <x v="0"/>
    <x v="110"/>
    <x v="5"/>
    <x v="0"/>
  </r>
  <r>
    <x v="1"/>
    <x v="1"/>
    <x v="487"/>
    <x v="1"/>
    <n v="61"/>
    <x v="3"/>
    <n v="0"/>
    <n v="0"/>
    <x v="0"/>
    <x v="131"/>
    <x v="5"/>
    <x v="3"/>
  </r>
  <r>
    <x v="1"/>
    <x v="1"/>
    <x v="488"/>
    <x v="1"/>
    <n v="50"/>
    <x v="2"/>
    <n v="1"/>
    <n v="0"/>
    <x v="2"/>
    <x v="17"/>
    <x v="2"/>
    <x v="0"/>
  </r>
  <r>
    <x v="1"/>
    <x v="0"/>
    <x v="489"/>
    <x v="0"/>
    <n v="42"/>
    <x v="2"/>
    <n v="1"/>
    <n v="0"/>
    <x v="2"/>
    <x v="17"/>
    <x v="2"/>
    <x v="0"/>
  </r>
  <r>
    <x v="1"/>
    <x v="1"/>
    <x v="490"/>
    <x v="0"/>
    <n v="57"/>
    <x v="5"/>
    <n v="0"/>
    <n v="0"/>
    <x v="0"/>
    <x v="110"/>
    <x v="5"/>
    <x v="0"/>
  </r>
  <r>
    <x v="1"/>
    <x v="1"/>
    <x v="491"/>
    <x v="1"/>
    <s v="Unknown"/>
    <x v="7"/>
    <n v="0"/>
    <n v="0"/>
    <x v="0"/>
    <x v="136"/>
    <x v="5"/>
    <x v="1"/>
  </r>
  <r>
    <x v="1"/>
    <x v="0"/>
    <x v="492"/>
    <x v="1"/>
    <n v="1"/>
    <x v="1"/>
    <n v="0"/>
    <n v="2"/>
    <x v="3"/>
    <x v="137"/>
    <x v="2"/>
    <x v="1"/>
  </r>
  <r>
    <x v="1"/>
    <x v="1"/>
    <x v="493"/>
    <x v="1"/>
    <n v="31"/>
    <x v="4"/>
    <n v="1"/>
    <n v="1"/>
    <x v="3"/>
    <x v="137"/>
    <x v="2"/>
    <x v="1"/>
  </r>
  <r>
    <x v="1"/>
    <x v="0"/>
    <x v="494"/>
    <x v="0"/>
    <n v="24"/>
    <x v="0"/>
    <n v="1"/>
    <n v="1"/>
    <x v="3"/>
    <x v="137"/>
    <x v="2"/>
    <x v="1"/>
  </r>
  <r>
    <x v="1"/>
    <x v="1"/>
    <x v="495"/>
    <x v="1"/>
    <s v="Unknown"/>
    <x v="7"/>
    <n v="0"/>
    <n v="0"/>
    <x v="0"/>
    <x v="138"/>
    <x v="5"/>
    <x v="1"/>
  </r>
  <r>
    <x v="1"/>
    <x v="1"/>
    <x v="496"/>
    <x v="1"/>
    <n v="30"/>
    <x v="0"/>
    <n v="0"/>
    <n v="0"/>
    <x v="0"/>
    <x v="108"/>
    <x v="5"/>
    <x v="0"/>
  </r>
  <r>
    <x v="1"/>
    <x v="1"/>
    <x v="497"/>
    <x v="1"/>
    <n v="40"/>
    <x v="4"/>
    <n v="0"/>
    <n v="0"/>
    <x v="0"/>
    <x v="126"/>
    <x v="5"/>
    <x v="0"/>
  </r>
  <r>
    <x v="1"/>
    <x v="1"/>
    <x v="498"/>
    <x v="1"/>
    <n v="32"/>
    <x v="4"/>
    <n v="0"/>
    <n v="0"/>
    <x v="0"/>
    <x v="115"/>
    <x v="5"/>
    <x v="0"/>
  </r>
  <r>
    <x v="1"/>
    <x v="1"/>
    <x v="499"/>
    <x v="1"/>
    <n v="30"/>
    <x v="0"/>
    <n v="0"/>
    <n v="0"/>
    <x v="0"/>
    <x v="108"/>
    <x v="5"/>
    <x v="0"/>
  </r>
  <r>
    <x v="1"/>
    <x v="1"/>
    <x v="500"/>
    <x v="1"/>
    <n v="46"/>
    <x v="2"/>
    <n v="0"/>
    <n v="0"/>
    <x v="0"/>
    <x v="17"/>
    <x v="2"/>
    <x v="0"/>
  </r>
  <r>
    <x v="1"/>
    <x v="0"/>
    <x v="501"/>
    <x v="0"/>
    <n v="13"/>
    <x v="1"/>
    <n v="0"/>
    <n v="1"/>
    <x v="2"/>
    <x v="139"/>
    <x v="5"/>
    <x v="0"/>
  </r>
  <r>
    <x v="1"/>
    <x v="0"/>
    <x v="502"/>
    <x v="0"/>
    <n v="41"/>
    <x v="2"/>
    <n v="0"/>
    <n v="1"/>
    <x v="2"/>
    <x v="139"/>
    <x v="5"/>
    <x v="0"/>
  </r>
  <r>
    <x v="1"/>
    <x v="0"/>
    <x v="503"/>
    <x v="1"/>
    <n v="19"/>
    <x v="0"/>
    <n v="0"/>
    <n v="0"/>
    <x v="0"/>
    <x v="110"/>
    <x v="5"/>
    <x v="0"/>
  </r>
  <r>
    <x v="1"/>
    <x v="1"/>
    <x v="504"/>
    <x v="1"/>
    <n v="39"/>
    <x v="4"/>
    <n v="0"/>
    <n v="0"/>
    <x v="0"/>
    <x v="108"/>
    <x v="5"/>
    <x v="0"/>
  </r>
  <r>
    <x v="1"/>
    <x v="1"/>
    <x v="505"/>
    <x v="1"/>
    <n v="48"/>
    <x v="2"/>
    <n v="0"/>
    <n v="0"/>
    <x v="0"/>
    <x v="108"/>
    <x v="5"/>
    <x v="0"/>
  </r>
  <r>
    <x v="1"/>
    <x v="1"/>
    <x v="506"/>
    <x v="1"/>
    <n v="70"/>
    <x v="6"/>
    <n v="0"/>
    <n v="0"/>
    <x v="0"/>
    <x v="110"/>
    <x v="5"/>
    <x v="0"/>
  </r>
  <r>
    <x v="1"/>
    <x v="1"/>
    <x v="507"/>
    <x v="1"/>
    <n v="27"/>
    <x v="0"/>
    <n v="0"/>
    <n v="0"/>
    <x v="0"/>
    <x v="108"/>
    <x v="5"/>
    <x v="0"/>
  </r>
  <r>
    <x v="1"/>
    <x v="1"/>
    <x v="508"/>
    <x v="1"/>
    <n v="54"/>
    <x v="5"/>
    <n v="0"/>
    <n v="0"/>
    <x v="0"/>
    <x v="140"/>
    <x v="5"/>
    <x v="0"/>
  </r>
  <r>
    <x v="1"/>
    <x v="1"/>
    <x v="509"/>
    <x v="1"/>
    <n v="39"/>
    <x v="4"/>
    <n v="0"/>
    <n v="0"/>
    <x v="0"/>
    <x v="17"/>
    <x v="2"/>
    <x v="0"/>
  </r>
  <r>
    <x v="1"/>
    <x v="1"/>
    <x v="510"/>
    <x v="1"/>
    <n v="16"/>
    <x v="1"/>
    <n v="0"/>
    <n v="0"/>
    <x v="0"/>
    <x v="110"/>
    <x v="5"/>
    <x v="0"/>
  </r>
  <r>
    <x v="1"/>
    <x v="1"/>
    <x v="511"/>
    <x v="1"/>
    <n v="62"/>
    <x v="3"/>
    <n v="0"/>
    <n v="0"/>
    <x v="0"/>
    <x v="141"/>
    <x v="4"/>
    <x v="3"/>
  </r>
  <r>
    <x v="1"/>
    <x v="1"/>
    <x v="512"/>
    <x v="1"/>
    <n v="32.5"/>
    <x v="4"/>
    <n v="1"/>
    <n v="0"/>
    <x v="2"/>
    <x v="142"/>
    <x v="2"/>
    <x v="1"/>
  </r>
  <r>
    <x v="1"/>
    <x v="0"/>
    <x v="513"/>
    <x v="0"/>
    <n v="14"/>
    <x v="1"/>
    <n v="1"/>
    <n v="0"/>
    <x v="2"/>
    <x v="142"/>
    <x v="2"/>
    <x v="1"/>
  </r>
  <r>
    <x v="1"/>
    <x v="0"/>
    <x v="514"/>
    <x v="1"/>
    <n v="2"/>
    <x v="1"/>
    <n v="1"/>
    <n v="1"/>
    <x v="3"/>
    <x v="17"/>
    <x v="2"/>
    <x v="0"/>
  </r>
  <r>
    <x v="1"/>
    <x v="0"/>
    <x v="515"/>
    <x v="1"/>
    <n v="3"/>
    <x v="1"/>
    <n v="1"/>
    <n v="1"/>
    <x v="3"/>
    <x v="17"/>
    <x v="2"/>
    <x v="0"/>
  </r>
  <r>
    <x v="1"/>
    <x v="1"/>
    <x v="516"/>
    <x v="1"/>
    <n v="36.5"/>
    <x v="4"/>
    <n v="0"/>
    <n v="2"/>
    <x v="3"/>
    <x v="17"/>
    <x v="2"/>
    <x v="0"/>
  </r>
  <r>
    <x v="1"/>
    <x v="1"/>
    <x v="517"/>
    <x v="1"/>
    <n v="26"/>
    <x v="0"/>
    <n v="0"/>
    <n v="0"/>
    <x v="0"/>
    <x v="108"/>
    <x v="5"/>
    <x v="0"/>
  </r>
  <r>
    <x v="1"/>
    <x v="1"/>
    <x v="518"/>
    <x v="1"/>
    <n v="19"/>
    <x v="0"/>
    <n v="1"/>
    <n v="1"/>
    <x v="3"/>
    <x v="117"/>
    <x v="2"/>
    <x v="0"/>
  </r>
  <r>
    <x v="1"/>
    <x v="1"/>
    <x v="519"/>
    <x v="1"/>
    <n v="28"/>
    <x v="0"/>
    <n v="0"/>
    <n v="0"/>
    <x v="0"/>
    <x v="115"/>
    <x v="5"/>
    <x v="0"/>
  </r>
  <r>
    <x v="1"/>
    <x v="0"/>
    <x v="520"/>
    <x v="1"/>
    <n v="20"/>
    <x v="0"/>
    <n v="0"/>
    <n v="0"/>
    <x v="0"/>
    <x v="143"/>
    <x v="5"/>
    <x v="1"/>
  </r>
  <r>
    <x v="1"/>
    <x v="0"/>
    <x v="521"/>
    <x v="0"/>
    <n v="29"/>
    <x v="0"/>
    <n v="0"/>
    <n v="0"/>
    <x v="0"/>
    <x v="110"/>
    <x v="5"/>
    <x v="0"/>
  </r>
  <r>
    <x v="1"/>
    <x v="1"/>
    <x v="522"/>
    <x v="1"/>
    <n v="39"/>
    <x v="4"/>
    <n v="0"/>
    <n v="0"/>
    <x v="0"/>
    <x v="108"/>
    <x v="5"/>
    <x v="0"/>
  </r>
  <r>
    <x v="1"/>
    <x v="0"/>
    <x v="523"/>
    <x v="1"/>
    <n v="22"/>
    <x v="0"/>
    <n v="0"/>
    <n v="0"/>
    <x v="0"/>
    <x v="110"/>
    <x v="5"/>
    <x v="0"/>
  </r>
  <r>
    <x v="1"/>
    <x v="0"/>
    <x v="524"/>
    <x v="1"/>
    <s v="Unknown"/>
    <x v="7"/>
    <n v="0"/>
    <n v="0"/>
    <x v="0"/>
    <x v="143"/>
    <x v="5"/>
    <x v="1"/>
  </r>
  <r>
    <x v="1"/>
    <x v="1"/>
    <x v="525"/>
    <x v="1"/>
    <n v="23"/>
    <x v="0"/>
    <n v="0"/>
    <n v="0"/>
    <x v="0"/>
    <x v="110"/>
    <x v="5"/>
    <x v="0"/>
  </r>
  <r>
    <x v="1"/>
    <x v="0"/>
    <x v="526"/>
    <x v="1"/>
    <n v="29"/>
    <x v="0"/>
    <n v="0"/>
    <n v="0"/>
    <x v="0"/>
    <x v="122"/>
    <x v="5"/>
    <x v="1"/>
  </r>
  <r>
    <x v="1"/>
    <x v="1"/>
    <x v="527"/>
    <x v="1"/>
    <n v="28"/>
    <x v="0"/>
    <n v="0"/>
    <n v="0"/>
    <x v="0"/>
    <x v="110"/>
    <x v="5"/>
    <x v="0"/>
  </r>
  <r>
    <x v="1"/>
    <x v="1"/>
    <x v="528"/>
    <x v="1"/>
    <s v="Unknown"/>
    <x v="7"/>
    <n v="0"/>
    <n v="0"/>
    <x v="0"/>
    <x v="4"/>
    <x v="4"/>
    <x v="0"/>
  </r>
  <r>
    <x v="1"/>
    <x v="0"/>
    <x v="529"/>
    <x v="0"/>
    <n v="50"/>
    <x v="2"/>
    <n v="0"/>
    <n v="1"/>
    <x v="2"/>
    <x v="17"/>
    <x v="2"/>
    <x v="0"/>
  </r>
  <r>
    <x v="1"/>
    <x v="1"/>
    <x v="530"/>
    <x v="1"/>
    <n v="19"/>
    <x v="0"/>
    <n v="0"/>
    <n v="0"/>
    <x v="0"/>
    <x v="110"/>
    <x v="5"/>
    <x v="0"/>
  </r>
  <r>
    <x v="1"/>
    <x v="1"/>
    <x v="531"/>
    <x v="1"/>
    <s v="Unknown"/>
    <x v="7"/>
    <n v="0"/>
    <n v="0"/>
    <x v="0"/>
    <x v="144"/>
    <x v="5"/>
    <x v="1"/>
  </r>
  <r>
    <x v="1"/>
    <x v="1"/>
    <x v="532"/>
    <x v="1"/>
    <n v="41"/>
    <x v="2"/>
    <n v="0"/>
    <n v="0"/>
    <x v="0"/>
    <x v="108"/>
    <x v="5"/>
    <x v="0"/>
  </r>
  <r>
    <x v="1"/>
    <x v="0"/>
    <x v="533"/>
    <x v="0"/>
    <n v="21"/>
    <x v="0"/>
    <n v="0"/>
    <n v="1"/>
    <x v="2"/>
    <x v="114"/>
    <x v="5"/>
    <x v="0"/>
  </r>
  <r>
    <x v="1"/>
    <x v="0"/>
    <x v="534"/>
    <x v="0"/>
    <n v="19"/>
    <x v="0"/>
    <n v="0"/>
    <n v="0"/>
    <x v="0"/>
    <x v="17"/>
    <x v="2"/>
    <x v="0"/>
  </r>
  <r>
    <x v="1"/>
    <x v="1"/>
    <x v="535"/>
    <x v="1"/>
    <n v="43"/>
    <x v="2"/>
    <n v="0"/>
    <n v="1"/>
    <x v="2"/>
    <x v="114"/>
    <x v="5"/>
    <x v="0"/>
  </r>
  <r>
    <x v="1"/>
    <x v="0"/>
    <x v="536"/>
    <x v="0"/>
    <n v="32"/>
    <x v="4"/>
    <n v="0"/>
    <n v="0"/>
    <x v="0"/>
    <x v="108"/>
    <x v="5"/>
    <x v="0"/>
  </r>
  <r>
    <x v="1"/>
    <x v="1"/>
    <x v="537"/>
    <x v="1"/>
    <n v="34"/>
    <x v="4"/>
    <n v="0"/>
    <n v="0"/>
    <x v="0"/>
    <x v="108"/>
    <x v="5"/>
    <x v="0"/>
  </r>
  <r>
    <x v="1"/>
    <x v="0"/>
    <x v="538"/>
    <x v="1"/>
    <n v="30"/>
    <x v="0"/>
    <n v="0"/>
    <n v="0"/>
    <x v="0"/>
    <x v="145"/>
    <x v="5"/>
    <x v="1"/>
  </r>
  <r>
    <x v="1"/>
    <x v="1"/>
    <x v="539"/>
    <x v="1"/>
    <n v="27"/>
    <x v="0"/>
    <n v="0"/>
    <n v="0"/>
    <x v="0"/>
    <x v="146"/>
    <x v="5"/>
    <x v="1"/>
  </r>
  <r>
    <x v="1"/>
    <x v="0"/>
    <x v="540"/>
    <x v="0"/>
    <n v="2"/>
    <x v="1"/>
    <n v="1"/>
    <n v="1"/>
    <x v="3"/>
    <x v="17"/>
    <x v="2"/>
    <x v="0"/>
  </r>
  <r>
    <x v="1"/>
    <x v="0"/>
    <x v="541"/>
    <x v="0"/>
    <n v="8"/>
    <x v="1"/>
    <n v="1"/>
    <n v="1"/>
    <x v="3"/>
    <x v="17"/>
    <x v="2"/>
    <x v="0"/>
  </r>
  <r>
    <x v="1"/>
    <x v="0"/>
    <x v="542"/>
    <x v="0"/>
    <n v="33"/>
    <x v="4"/>
    <n v="0"/>
    <n v="2"/>
    <x v="3"/>
    <x v="17"/>
    <x v="2"/>
    <x v="0"/>
  </r>
  <r>
    <x v="1"/>
    <x v="1"/>
    <x v="543"/>
    <x v="1"/>
    <n v="36"/>
    <x v="4"/>
    <n v="0"/>
    <n v="0"/>
    <x v="0"/>
    <x v="110"/>
    <x v="5"/>
    <x v="0"/>
  </r>
  <r>
    <x v="1"/>
    <x v="1"/>
    <x v="544"/>
    <x v="1"/>
    <n v="34"/>
    <x v="4"/>
    <n v="1"/>
    <n v="0"/>
    <x v="2"/>
    <x v="114"/>
    <x v="5"/>
    <x v="0"/>
  </r>
  <r>
    <x v="1"/>
    <x v="0"/>
    <x v="545"/>
    <x v="0"/>
    <n v="30"/>
    <x v="0"/>
    <n v="3"/>
    <n v="0"/>
    <x v="1"/>
    <x v="114"/>
    <x v="5"/>
    <x v="0"/>
  </r>
  <r>
    <x v="1"/>
    <x v="0"/>
    <x v="546"/>
    <x v="0"/>
    <n v="28"/>
    <x v="0"/>
    <n v="0"/>
    <n v="0"/>
    <x v="0"/>
    <x v="108"/>
    <x v="5"/>
    <x v="0"/>
  </r>
  <r>
    <x v="1"/>
    <x v="1"/>
    <x v="547"/>
    <x v="1"/>
    <n v="23"/>
    <x v="0"/>
    <n v="0"/>
    <n v="0"/>
    <x v="0"/>
    <x v="136"/>
    <x v="5"/>
    <x v="1"/>
  </r>
  <r>
    <x v="1"/>
    <x v="0"/>
    <x v="548"/>
    <x v="1"/>
    <n v="0.83330000000000004"/>
    <x v="1"/>
    <n v="1"/>
    <n v="1"/>
    <x v="3"/>
    <x v="147"/>
    <x v="5"/>
    <x v="0"/>
  </r>
  <r>
    <x v="1"/>
    <x v="0"/>
    <x v="549"/>
    <x v="1"/>
    <n v="3"/>
    <x v="1"/>
    <n v="1"/>
    <n v="1"/>
    <x v="3"/>
    <x v="147"/>
    <x v="5"/>
    <x v="0"/>
  </r>
  <r>
    <x v="1"/>
    <x v="0"/>
    <x v="550"/>
    <x v="0"/>
    <n v="24"/>
    <x v="0"/>
    <n v="2"/>
    <n v="3"/>
    <x v="4"/>
    <x v="147"/>
    <x v="5"/>
    <x v="0"/>
  </r>
  <r>
    <x v="1"/>
    <x v="0"/>
    <x v="551"/>
    <x v="0"/>
    <n v="50"/>
    <x v="2"/>
    <n v="0"/>
    <n v="0"/>
    <x v="0"/>
    <x v="110"/>
    <x v="5"/>
    <x v="0"/>
  </r>
  <r>
    <x v="1"/>
    <x v="1"/>
    <x v="552"/>
    <x v="1"/>
    <n v="19"/>
    <x v="0"/>
    <n v="0"/>
    <n v="0"/>
    <x v="0"/>
    <x v="110"/>
    <x v="5"/>
    <x v="0"/>
  </r>
  <r>
    <x v="1"/>
    <x v="0"/>
    <x v="553"/>
    <x v="0"/>
    <n v="21"/>
    <x v="0"/>
    <n v="0"/>
    <n v="0"/>
    <x v="0"/>
    <x v="110"/>
    <x v="5"/>
    <x v="0"/>
  </r>
  <r>
    <x v="1"/>
    <x v="1"/>
    <x v="554"/>
    <x v="1"/>
    <n v="26"/>
    <x v="0"/>
    <n v="0"/>
    <n v="0"/>
    <x v="0"/>
    <x v="108"/>
    <x v="5"/>
    <x v="0"/>
  </r>
  <r>
    <x v="1"/>
    <x v="1"/>
    <x v="555"/>
    <x v="1"/>
    <n v="25"/>
    <x v="0"/>
    <n v="0"/>
    <n v="0"/>
    <x v="0"/>
    <x v="108"/>
    <x v="5"/>
    <x v="0"/>
  </r>
  <r>
    <x v="1"/>
    <x v="1"/>
    <x v="556"/>
    <x v="1"/>
    <n v="27"/>
    <x v="0"/>
    <n v="0"/>
    <n v="0"/>
    <x v="0"/>
    <x v="17"/>
    <x v="2"/>
    <x v="0"/>
  </r>
  <r>
    <x v="1"/>
    <x v="0"/>
    <x v="557"/>
    <x v="0"/>
    <n v="25"/>
    <x v="0"/>
    <n v="0"/>
    <n v="1"/>
    <x v="2"/>
    <x v="17"/>
    <x v="2"/>
    <x v="0"/>
  </r>
  <r>
    <x v="1"/>
    <x v="0"/>
    <x v="558"/>
    <x v="0"/>
    <n v="18"/>
    <x v="1"/>
    <n v="0"/>
    <n v="2"/>
    <x v="3"/>
    <x v="108"/>
    <x v="5"/>
    <x v="0"/>
  </r>
  <r>
    <x v="1"/>
    <x v="0"/>
    <x v="559"/>
    <x v="0"/>
    <n v="20"/>
    <x v="0"/>
    <n v="0"/>
    <n v="0"/>
    <x v="0"/>
    <x v="117"/>
    <x v="2"/>
    <x v="0"/>
  </r>
  <r>
    <x v="1"/>
    <x v="0"/>
    <x v="560"/>
    <x v="0"/>
    <n v="30"/>
    <x v="0"/>
    <n v="0"/>
    <n v="0"/>
    <x v="0"/>
    <x v="108"/>
    <x v="5"/>
    <x v="0"/>
  </r>
  <r>
    <x v="1"/>
    <x v="1"/>
    <x v="561"/>
    <x v="1"/>
    <n v="59"/>
    <x v="5"/>
    <n v="0"/>
    <n v="0"/>
    <x v="0"/>
    <x v="115"/>
    <x v="5"/>
    <x v="0"/>
  </r>
  <r>
    <x v="1"/>
    <x v="0"/>
    <x v="562"/>
    <x v="0"/>
    <n v="30"/>
    <x v="0"/>
    <n v="0"/>
    <n v="0"/>
    <x v="0"/>
    <x v="131"/>
    <x v="5"/>
    <x v="3"/>
  </r>
  <r>
    <x v="1"/>
    <x v="1"/>
    <x v="563"/>
    <x v="1"/>
    <n v="35"/>
    <x v="4"/>
    <n v="0"/>
    <n v="0"/>
    <x v="0"/>
    <x v="110"/>
    <x v="5"/>
    <x v="0"/>
  </r>
  <r>
    <x v="1"/>
    <x v="0"/>
    <x v="564"/>
    <x v="0"/>
    <n v="40"/>
    <x v="4"/>
    <n v="0"/>
    <n v="0"/>
    <x v="0"/>
    <x v="108"/>
    <x v="5"/>
    <x v="0"/>
  </r>
  <r>
    <x v="1"/>
    <x v="1"/>
    <x v="565"/>
    <x v="1"/>
    <n v="25"/>
    <x v="0"/>
    <n v="0"/>
    <n v="0"/>
    <x v="0"/>
    <x v="108"/>
    <x v="5"/>
    <x v="0"/>
  </r>
  <r>
    <x v="1"/>
    <x v="1"/>
    <x v="566"/>
    <x v="1"/>
    <n v="41"/>
    <x v="2"/>
    <n v="0"/>
    <n v="0"/>
    <x v="0"/>
    <x v="136"/>
    <x v="5"/>
    <x v="1"/>
  </r>
  <r>
    <x v="1"/>
    <x v="1"/>
    <x v="567"/>
    <x v="1"/>
    <n v="25"/>
    <x v="0"/>
    <n v="0"/>
    <n v="0"/>
    <x v="0"/>
    <x v="110"/>
    <x v="5"/>
    <x v="0"/>
  </r>
  <r>
    <x v="1"/>
    <x v="1"/>
    <x v="568"/>
    <x v="1"/>
    <n v="18.5"/>
    <x v="0"/>
    <n v="0"/>
    <n v="0"/>
    <x v="0"/>
    <x v="108"/>
    <x v="5"/>
    <x v="0"/>
  </r>
  <r>
    <x v="1"/>
    <x v="1"/>
    <x v="569"/>
    <x v="1"/>
    <n v="14"/>
    <x v="1"/>
    <n v="0"/>
    <n v="0"/>
    <x v="0"/>
    <x v="125"/>
    <x v="3"/>
    <x v="0"/>
  </r>
  <r>
    <x v="1"/>
    <x v="0"/>
    <x v="570"/>
    <x v="0"/>
    <n v="50"/>
    <x v="2"/>
    <n v="0"/>
    <n v="0"/>
    <x v="0"/>
    <x v="110"/>
    <x v="5"/>
    <x v="0"/>
  </r>
  <r>
    <x v="1"/>
    <x v="1"/>
    <x v="571"/>
    <x v="1"/>
    <n v="23"/>
    <x v="0"/>
    <n v="0"/>
    <n v="0"/>
    <x v="0"/>
    <x v="108"/>
    <x v="5"/>
    <x v="0"/>
  </r>
  <r>
    <x v="1"/>
    <x v="0"/>
    <x v="572"/>
    <x v="0"/>
    <n v="28"/>
    <x v="0"/>
    <n v="0"/>
    <n v="0"/>
    <x v="0"/>
    <x v="148"/>
    <x v="5"/>
    <x v="0"/>
  </r>
  <r>
    <x v="1"/>
    <x v="0"/>
    <x v="573"/>
    <x v="0"/>
    <n v="27"/>
    <x v="0"/>
    <n v="0"/>
    <n v="0"/>
    <x v="0"/>
    <x v="110"/>
    <x v="5"/>
    <x v="0"/>
  </r>
  <r>
    <x v="1"/>
    <x v="1"/>
    <x v="574"/>
    <x v="1"/>
    <n v="29"/>
    <x v="0"/>
    <n v="1"/>
    <n v="0"/>
    <x v="2"/>
    <x v="114"/>
    <x v="5"/>
    <x v="0"/>
  </r>
  <r>
    <x v="1"/>
    <x v="1"/>
    <x v="575"/>
    <x v="0"/>
    <n v="27"/>
    <x v="0"/>
    <n v="1"/>
    <n v="0"/>
    <x v="2"/>
    <x v="114"/>
    <x v="5"/>
    <x v="0"/>
  </r>
  <r>
    <x v="1"/>
    <x v="1"/>
    <x v="576"/>
    <x v="1"/>
    <n v="40"/>
    <x v="4"/>
    <n v="0"/>
    <n v="0"/>
    <x v="0"/>
    <x v="108"/>
    <x v="5"/>
    <x v="0"/>
  </r>
  <r>
    <x v="1"/>
    <x v="0"/>
    <x v="577"/>
    <x v="0"/>
    <n v="31"/>
    <x v="4"/>
    <n v="0"/>
    <n v="0"/>
    <x v="0"/>
    <x v="114"/>
    <x v="5"/>
    <x v="0"/>
  </r>
  <r>
    <x v="1"/>
    <x v="1"/>
    <x v="578"/>
    <x v="1"/>
    <n v="30"/>
    <x v="0"/>
    <n v="1"/>
    <n v="0"/>
    <x v="2"/>
    <x v="114"/>
    <x v="5"/>
    <x v="0"/>
  </r>
  <r>
    <x v="1"/>
    <x v="1"/>
    <x v="579"/>
    <x v="1"/>
    <n v="23"/>
    <x v="0"/>
    <n v="1"/>
    <n v="0"/>
    <x v="2"/>
    <x v="110"/>
    <x v="5"/>
    <x v="0"/>
  </r>
  <r>
    <x v="1"/>
    <x v="0"/>
    <x v="580"/>
    <x v="0"/>
    <n v="31"/>
    <x v="4"/>
    <n v="0"/>
    <n v="0"/>
    <x v="0"/>
    <x v="114"/>
    <x v="5"/>
    <x v="0"/>
  </r>
  <r>
    <x v="1"/>
    <x v="1"/>
    <x v="581"/>
    <x v="1"/>
    <s v="Unknown"/>
    <x v="7"/>
    <n v="0"/>
    <n v="0"/>
    <x v="0"/>
    <x v="4"/>
    <x v="4"/>
    <x v="0"/>
  </r>
  <r>
    <x v="1"/>
    <x v="0"/>
    <x v="582"/>
    <x v="0"/>
    <n v="12"/>
    <x v="1"/>
    <n v="0"/>
    <n v="0"/>
    <x v="0"/>
    <x v="149"/>
    <x v="5"/>
    <x v="0"/>
  </r>
  <r>
    <x v="1"/>
    <x v="0"/>
    <x v="583"/>
    <x v="0"/>
    <n v="40"/>
    <x v="4"/>
    <n v="0"/>
    <n v="0"/>
    <x v="0"/>
    <x v="149"/>
    <x v="5"/>
    <x v="0"/>
  </r>
  <r>
    <x v="1"/>
    <x v="0"/>
    <x v="584"/>
    <x v="0"/>
    <n v="32.5"/>
    <x v="4"/>
    <n v="0"/>
    <n v="0"/>
    <x v="0"/>
    <x v="108"/>
    <x v="5"/>
    <x v="0"/>
  </r>
  <r>
    <x v="1"/>
    <x v="1"/>
    <x v="585"/>
    <x v="1"/>
    <n v="27"/>
    <x v="0"/>
    <n v="1"/>
    <n v="0"/>
    <x v="2"/>
    <x v="17"/>
    <x v="2"/>
    <x v="0"/>
  </r>
  <r>
    <x v="1"/>
    <x v="0"/>
    <x v="586"/>
    <x v="0"/>
    <n v="29"/>
    <x v="0"/>
    <n v="1"/>
    <n v="0"/>
    <x v="2"/>
    <x v="17"/>
    <x v="2"/>
    <x v="0"/>
  </r>
  <r>
    <x v="1"/>
    <x v="0"/>
    <x v="587"/>
    <x v="1"/>
    <n v="2"/>
    <x v="1"/>
    <n v="1"/>
    <n v="1"/>
    <x v="3"/>
    <x v="120"/>
    <x v="5"/>
    <x v="0"/>
  </r>
  <r>
    <x v="1"/>
    <x v="0"/>
    <x v="588"/>
    <x v="0"/>
    <n v="4"/>
    <x v="1"/>
    <n v="1"/>
    <n v="1"/>
    <x v="3"/>
    <x v="120"/>
    <x v="5"/>
    <x v="0"/>
  </r>
  <r>
    <x v="1"/>
    <x v="0"/>
    <x v="589"/>
    <x v="0"/>
    <n v="29"/>
    <x v="0"/>
    <n v="0"/>
    <n v="2"/>
    <x v="3"/>
    <x v="120"/>
    <x v="5"/>
    <x v="0"/>
  </r>
  <r>
    <x v="1"/>
    <x v="0"/>
    <x v="590"/>
    <x v="0"/>
    <n v="0.91669999999999996"/>
    <x v="1"/>
    <n v="1"/>
    <n v="2"/>
    <x v="1"/>
    <x v="56"/>
    <x v="2"/>
    <x v="0"/>
  </r>
  <r>
    <x v="1"/>
    <x v="0"/>
    <x v="591"/>
    <x v="0"/>
    <n v="5"/>
    <x v="1"/>
    <n v="1"/>
    <n v="2"/>
    <x v="1"/>
    <x v="56"/>
    <x v="2"/>
    <x v="0"/>
  </r>
  <r>
    <x v="1"/>
    <x v="1"/>
    <x v="592"/>
    <x v="1"/>
    <n v="36"/>
    <x v="4"/>
    <n v="1"/>
    <n v="2"/>
    <x v="1"/>
    <x v="56"/>
    <x v="2"/>
    <x v="0"/>
  </r>
  <r>
    <x v="1"/>
    <x v="0"/>
    <x v="593"/>
    <x v="0"/>
    <n v="33"/>
    <x v="4"/>
    <n v="1"/>
    <n v="2"/>
    <x v="1"/>
    <x v="56"/>
    <x v="2"/>
    <x v="0"/>
  </r>
  <r>
    <x v="1"/>
    <x v="1"/>
    <x v="594"/>
    <x v="1"/>
    <n v="66"/>
    <x v="3"/>
    <n v="0"/>
    <n v="0"/>
    <x v="0"/>
    <x v="110"/>
    <x v="5"/>
    <x v="0"/>
  </r>
  <r>
    <x v="1"/>
    <x v="1"/>
    <x v="595"/>
    <x v="1"/>
    <s v="Unknown"/>
    <x v="7"/>
    <n v="0"/>
    <n v="0"/>
    <x v="0"/>
    <x v="135"/>
    <x v="5"/>
    <x v="0"/>
  </r>
  <r>
    <x v="1"/>
    <x v="0"/>
    <x v="596"/>
    <x v="1"/>
    <n v="31"/>
    <x v="4"/>
    <n v="0"/>
    <n v="0"/>
    <x v="0"/>
    <x v="108"/>
    <x v="5"/>
    <x v="0"/>
  </r>
  <r>
    <x v="1"/>
    <x v="0"/>
    <x v="597"/>
    <x v="1"/>
    <s v="Unknown"/>
    <x v="7"/>
    <n v="0"/>
    <n v="0"/>
    <x v="0"/>
    <x v="108"/>
    <x v="5"/>
    <x v="0"/>
  </r>
  <r>
    <x v="1"/>
    <x v="0"/>
    <x v="598"/>
    <x v="0"/>
    <n v="26"/>
    <x v="0"/>
    <n v="0"/>
    <n v="0"/>
    <x v="0"/>
    <x v="115"/>
    <x v="5"/>
    <x v="0"/>
  </r>
  <r>
    <x v="1"/>
    <x v="1"/>
    <x v="599"/>
    <x v="0"/>
    <n v="24"/>
    <x v="0"/>
    <n v="0"/>
    <n v="0"/>
    <x v="0"/>
    <x v="108"/>
    <x v="5"/>
    <x v="0"/>
  </r>
  <r>
    <x v="2"/>
    <x v="1"/>
    <x v="600"/>
    <x v="1"/>
    <n v="42"/>
    <x v="2"/>
    <n v="0"/>
    <n v="0"/>
    <x v="0"/>
    <x v="150"/>
    <x v="4"/>
    <x v="0"/>
  </r>
  <r>
    <x v="2"/>
    <x v="1"/>
    <x v="601"/>
    <x v="1"/>
    <n v="13"/>
    <x v="1"/>
    <n v="0"/>
    <n v="2"/>
    <x v="3"/>
    <x v="151"/>
    <x v="5"/>
    <x v="0"/>
  </r>
  <r>
    <x v="2"/>
    <x v="1"/>
    <x v="602"/>
    <x v="1"/>
    <n v="16"/>
    <x v="1"/>
    <n v="1"/>
    <n v="1"/>
    <x v="3"/>
    <x v="151"/>
    <x v="5"/>
    <x v="0"/>
  </r>
  <r>
    <x v="2"/>
    <x v="0"/>
    <x v="603"/>
    <x v="0"/>
    <n v="35"/>
    <x v="4"/>
    <n v="1"/>
    <n v="1"/>
    <x v="3"/>
    <x v="151"/>
    <x v="5"/>
    <x v="0"/>
  </r>
  <r>
    <x v="2"/>
    <x v="0"/>
    <x v="604"/>
    <x v="0"/>
    <n v="16"/>
    <x v="1"/>
    <n v="0"/>
    <n v="0"/>
    <x v="0"/>
    <x v="152"/>
    <x v="4"/>
    <x v="0"/>
  </r>
  <r>
    <x v="2"/>
    <x v="0"/>
    <x v="605"/>
    <x v="1"/>
    <n v="25"/>
    <x v="0"/>
    <n v="0"/>
    <n v="0"/>
    <x v="0"/>
    <x v="152"/>
    <x v="4"/>
    <x v="0"/>
  </r>
  <r>
    <x v="2"/>
    <x v="0"/>
    <x v="606"/>
    <x v="1"/>
    <n v="20"/>
    <x v="0"/>
    <n v="0"/>
    <n v="0"/>
    <x v="0"/>
    <x v="153"/>
    <x v="4"/>
    <x v="0"/>
  </r>
  <r>
    <x v="2"/>
    <x v="0"/>
    <x v="607"/>
    <x v="0"/>
    <n v="18"/>
    <x v="1"/>
    <n v="0"/>
    <n v="0"/>
    <x v="0"/>
    <x v="154"/>
    <x v="4"/>
    <x v="1"/>
  </r>
  <r>
    <x v="2"/>
    <x v="1"/>
    <x v="608"/>
    <x v="1"/>
    <n v="30"/>
    <x v="0"/>
    <n v="0"/>
    <n v="0"/>
    <x v="0"/>
    <x v="155"/>
    <x v="4"/>
    <x v="0"/>
  </r>
  <r>
    <x v="2"/>
    <x v="1"/>
    <x v="609"/>
    <x v="1"/>
    <n v="26"/>
    <x v="0"/>
    <n v="0"/>
    <n v="0"/>
    <x v="0"/>
    <x v="156"/>
    <x v="4"/>
    <x v="0"/>
  </r>
  <r>
    <x v="2"/>
    <x v="1"/>
    <x v="610"/>
    <x v="0"/>
    <n v="40"/>
    <x v="4"/>
    <n v="1"/>
    <n v="0"/>
    <x v="2"/>
    <x v="157"/>
    <x v="4"/>
    <x v="0"/>
  </r>
  <r>
    <x v="2"/>
    <x v="0"/>
    <x v="611"/>
    <x v="1"/>
    <n v="0.83330000000000004"/>
    <x v="1"/>
    <n v="0"/>
    <n v="1"/>
    <x v="2"/>
    <x v="158"/>
    <x v="4"/>
    <x v="0"/>
  </r>
  <r>
    <x v="2"/>
    <x v="0"/>
    <x v="612"/>
    <x v="0"/>
    <n v="18"/>
    <x v="1"/>
    <n v="0"/>
    <n v="1"/>
    <x v="2"/>
    <x v="158"/>
    <x v="4"/>
    <x v="0"/>
  </r>
  <r>
    <x v="2"/>
    <x v="0"/>
    <x v="613"/>
    <x v="1"/>
    <n v="26"/>
    <x v="0"/>
    <n v="0"/>
    <n v="0"/>
    <x v="0"/>
    <x v="159"/>
    <x v="5"/>
    <x v="1"/>
  </r>
  <r>
    <x v="2"/>
    <x v="1"/>
    <x v="614"/>
    <x v="1"/>
    <n v="26"/>
    <x v="0"/>
    <n v="0"/>
    <n v="0"/>
    <x v="0"/>
    <x v="160"/>
    <x v="4"/>
    <x v="0"/>
  </r>
  <r>
    <x v="2"/>
    <x v="1"/>
    <x v="615"/>
    <x v="1"/>
    <n v="20"/>
    <x v="0"/>
    <n v="0"/>
    <n v="0"/>
    <x v="0"/>
    <x v="153"/>
    <x v="4"/>
    <x v="0"/>
  </r>
  <r>
    <x v="2"/>
    <x v="1"/>
    <x v="616"/>
    <x v="1"/>
    <n v="24"/>
    <x v="0"/>
    <n v="0"/>
    <n v="0"/>
    <x v="0"/>
    <x v="161"/>
    <x v="4"/>
    <x v="0"/>
  </r>
  <r>
    <x v="2"/>
    <x v="1"/>
    <x v="617"/>
    <x v="1"/>
    <n v="25"/>
    <x v="0"/>
    <n v="0"/>
    <n v="0"/>
    <x v="0"/>
    <x v="161"/>
    <x v="4"/>
    <x v="0"/>
  </r>
  <r>
    <x v="2"/>
    <x v="1"/>
    <x v="618"/>
    <x v="1"/>
    <n v="35"/>
    <x v="4"/>
    <n v="0"/>
    <n v="0"/>
    <x v="0"/>
    <x v="156"/>
    <x v="4"/>
    <x v="0"/>
  </r>
  <r>
    <x v="2"/>
    <x v="1"/>
    <x v="619"/>
    <x v="1"/>
    <n v="18"/>
    <x v="1"/>
    <n v="0"/>
    <n v="0"/>
    <x v="0"/>
    <x v="162"/>
    <x v="4"/>
    <x v="0"/>
  </r>
  <r>
    <x v="2"/>
    <x v="1"/>
    <x v="620"/>
    <x v="1"/>
    <n v="32"/>
    <x v="4"/>
    <n v="0"/>
    <n v="0"/>
    <x v="0"/>
    <x v="163"/>
    <x v="5"/>
    <x v="0"/>
  </r>
  <r>
    <x v="2"/>
    <x v="0"/>
    <x v="621"/>
    <x v="0"/>
    <n v="19"/>
    <x v="0"/>
    <n v="1"/>
    <n v="0"/>
    <x v="2"/>
    <x v="164"/>
    <x v="4"/>
    <x v="0"/>
  </r>
  <r>
    <x v="2"/>
    <x v="1"/>
    <x v="622"/>
    <x v="1"/>
    <n v="4"/>
    <x v="1"/>
    <n v="4"/>
    <n v="2"/>
    <x v="6"/>
    <x v="165"/>
    <x v="2"/>
    <x v="0"/>
  </r>
  <r>
    <x v="2"/>
    <x v="1"/>
    <x v="623"/>
    <x v="0"/>
    <n v="6"/>
    <x v="1"/>
    <n v="4"/>
    <n v="2"/>
    <x v="6"/>
    <x v="165"/>
    <x v="2"/>
    <x v="0"/>
  </r>
  <r>
    <x v="2"/>
    <x v="1"/>
    <x v="624"/>
    <x v="0"/>
    <n v="2"/>
    <x v="1"/>
    <n v="4"/>
    <n v="2"/>
    <x v="6"/>
    <x v="165"/>
    <x v="2"/>
    <x v="0"/>
  </r>
  <r>
    <x v="2"/>
    <x v="0"/>
    <x v="625"/>
    <x v="0"/>
    <n v="17"/>
    <x v="1"/>
    <n v="4"/>
    <n v="2"/>
    <x v="6"/>
    <x v="153"/>
    <x v="4"/>
    <x v="0"/>
  </r>
  <r>
    <x v="2"/>
    <x v="1"/>
    <x v="626"/>
    <x v="0"/>
    <n v="38"/>
    <x v="4"/>
    <n v="4"/>
    <n v="2"/>
    <x v="6"/>
    <x v="166"/>
    <x v="4"/>
    <x v="0"/>
  </r>
  <r>
    <x v="2"/>
    <x v="1"/>
    <x v="627"/>
    <x v="0"/>
    <n v="9"/>
    <x v="1"/>
    <n v="4"/>
    <n v="2"/>
    <x v="6"/>
    <x v="165"/>
    <x v="2"/>
    <x v="0"/>
  </r>
  <r>
    <x v="2"/>
    <x v="1"/>
    <x v="628"/>
    <x v="0"/>
    <n v="11"/>
    <x v="1"/>
    <n v="4"/>
    <n v="2"/>
    <x v="6"/>
    <x v="165"/>
    <x v="2"/>
    <x v="0"/>
  </r>
  <r>
    <x v="2"/>
    <x v="1"/>
    <x v="629"/>
    <x v="1"/>
    <n v="39"/>
    <x v="4"/>
    <n v="1"/>
    <n v="5"/>
    <x v="6"/>
    <x v="165"/>
    <x v="2"/>
    <x v="0"/>
  </r>
  <r>
    <x v="2"/>
    <x v="0"/>
    <x v="630"/>
    <x v="1"/>
    <n v="27"/>
    <x v="0"/>
    <n v="0"/>
    <n v="0"/>
    <x v="0"/>
    <x v="167"/>
    <x v="4"/>
    <x v="0"/>
  </r>
  <r>
    <x v="2"/>
    <x v="1"/>
    <x v="631"/>
    <x v="1"/>
    <n v="26"/>
    <x v="0"/>
    <n v="0"/>
    <n v="0"/>
    <x v="0"/>
    <x v="166"/>
    <x v="4"/>
    <x v="0"/>
  </r>
  <r>
    <x v="2"/>
    <x v="1"/>
    <x v="632"/>
    <x v="0"/>
    <n v="39"/>
    <x v="4"/>
    <n v="1"/>
    <n v="5"/>
    <x v="6"/>
    <x v="165"/>
    <x v="2"/>
    <x v="0"/>
  </r>
  <r>
    <x v="2"/>
    <x v="1"/>
    <x v="633"/>
    <x v="1"/>
    <n v="20"/>
    <x v="0"/>
    <n v="0"/>
    <n v="0"/>
    <x v="0"/>
    <x v="164"/>
    <x v="4"/>
    <x v="0"/>
  </r>
  <r>
    <x v="2"/>
    <x v="1"/>
    <x v="634"/>
    <x v="1"/>
    <n v="26"/>
    <x v="0"/>
    <n v="0"/>
    <n v="0"/>
    <x v="0"/>
    <x v="168"/>
    <x v="4"/>
    <x v="0"/>
  </r>
  <r>
    <x v="2"/>
    <x v="1"/>
    <x v="635"/>
    <x v="1"/>
    <n v="25"/>
    <x v="0"/>
    <n v="1"/>
    <n v="0"/>
    <x v="2"/>
    <x v="169"/>
    <x v="5"/>
    <x v="0"/>
  </r>
  <r>
    <x v="2"/>
    <x v="1"/>
    <x v="636"/>
    <x v="0"/>
    <n v="18"/>
    <x v="1"/>
    <n v="1"/>
    <n v="0"/>
    <x v="2"/>
    <x v="169"/>
    <x v="5"/>
    <x v="0"/>
  </r>
  <r>
    <x v="2"/>
    <x v="1"/>
    <x v="637"/>
    <x v="1"/>
    <n v="24"/>
    <x v="0"/>
    <n v="0"/>
    <n v="0"/>
    <x v="0"/>
    <x v="166"/>
    <x v="4"/>
    <x v="0"/>
  </r>
  <r>
    <x v="2"/>
    <x v="1"/>
    <x v="638"/>
    <x v="1"/>
    <n v="35"/>
    <x v="4"/>
    <n v="0"/>
    <n v="0"/>
    <x v="0"/>
    <x v="161"/>
    <x v="4"/>
    <x v="0"/>
  </r>
  <r>
    <x v="2"/>
    <x v="1"/>
    <x v="639"/>
    <x v="1"/>
    <n v="5"/>
    <x v="1"/>
    <n v="4"/>
    <n v="2"/>
    <x v="6"/>
    <x v="170"/>
    <x v="2"/>
    <x v="0"/>
  </r>
  <r>
    <x v="2"/>
    <x v="1"/>
    <x v="640"/>
    <x v="1"/>
    <n v="9"/>
    <x v="1"/>
    <n v="4"/>
    <n v="2"/>
    <x v="6"/>
    <x v="170"/>
    <x v="2"/>
    <x v="0"/>
  </r>
  <r>
    <x v="2"/>
    <x v="0"/>
    <x v="641"/>
    <x v="1"/>
    <n v="3"/>
    <x v="1"/>
    <n v="4"/>
    <n v="2"/>
    <x v="6"/>
    <x v="170"/>
    <x v="2"/>
    <x v="0"/>
  </r>
  <r>
    <x v="2"/>
    <x v="1"/>
    <x v="642"/>
    <x v="1"/>
    <n v="13"/>
    <x v="1"/>
    <n v="4"/>
    <n v="2"/>
    <x v="6"/>
    <x v="170"/>
    <x v="2"/>
    <x v="0"/>
  </r>
  <r>
    <x v="2"/>
    <x v="0"/>
    <x v="643"/>
    <x v="0"/>
    <n v="5"/>
    <x v="1"/>
    <n v="4"/>
    <n v="2"/>
    <x v="6"/>
    <x v="170"/>
    <x v="2"/>
    <x v="0"/>
  </r>
  <r>
    <x v="2"/>
    <x v="1"/>
    <x v="644"/>
    <x v="1"/>
    <n v="40"/>
    <x v="4"/>
    <n v="1"/>
    <n v="5"/>
    <x v="6"/>
    <x v="170"/>
    <x v="2"/>
    <x v="0"/>
  </r>
  <r>
    <x v="2"/>
    <x v="0"/>
    <x v="645"/>
    <x v="1"/>
    <n v="23"/>
    <x v="0"/>
    <n v="0"/>
    <n v="0"/>
    <x v="0"/>
    <x v="167"/>
    <x v="4"/>
    <x v="0"/>
  </r>
  <r>
    <x v="2"/>
    <x v="0"/>
    <x v="646"/>
    <x v="0"/>
    <n v="38"/>
    <x v="4"/>
    <n v="1"/>
    <n v="5"/>
    <x v="6"/>
    <x v="170"/>
    <x v="2"/>
    <x v="0"/>
  </r>
  <r>
    <x v="2"/>
    <x v="0"/>
    <x v="647"/>
    <x v="0"/>
    <n v="45"/>
    <x v="2"/>
    <n v="0"/>
    <n v="0"/>
    <x v="0"/>
    <x v="171"/>
    <x v="4"/>
    <x v="1"/>
  </r>
  <r>
    <x v="2"/>
    <x v="1"/>
    <x v="648"/>
    <x v="1"/>
    <n v="21"/>
    <x v="0"/>
    <n v="0"/>
    <n v="0"/>
    <x v="0"/>
    <x v="171"/>
    <x v="4"/>
    <x v="1"/>
  </r>
  <r>
    <x v="2"/>
    <x v="1"/>
    <x v="649"/>
    <x v="1"/>
    <n v="23"/>
    <x v="0"/>
    <n v="0"/>
    <n v="0"/>
    <x v="0"/>
    <x v="161"/>
    <x v="4"/>
    <x v="0"/>
  </r>
  <r>
    <x v="2"/>
    <x v="1"/>
    <x v="650"/>
    <x v="0"/>
    <n v="17"/>
    <x v="1"/>
    <n v="0"/>
    <n v="0"/>
    <x v="0"/>
    <x v="172"/>
    <x v="5"/>
    <x v="1"/>
  </r>
  <r>
    <x v="2"/>
    <x v="1"/>
    <x v="651"/>
    <x v="1"/>
    <n v="30"/>
    <x v="0"/>
    <n v="0"/>
    <n v="0"/>
    <x v="0"/>
    <x v="171"/>
    <x v="4"/>
    <x v="1"/>
  </r>
  <r>
    <x v="2"/>
    <x v="1"/>
    <x v="652"/>
    <x v="1"/>
    <n v="23"/>
    <x v="0"/>
    <n v="0"/>
    <n v="0"/>
    <x v="0"/>
    <x v="164"/>
    <x v="4"/>
    <x v="0"/>
  </r>
  <r>
    <x v="2"/>
    <x v="0"/>
    <x v="653"/>
    <x v="0"/>
    <n v="13"/>
    <x v="1"/>
    <n v="0"/>
    <n v="0"/>
    <x v="0"/>
    <x v="154"/>
    <x v="4"/>
    <x v="1"/>
  </r>
  <r>
    <x v="2"/>
    <x v="1"/>
    <x v="654"/>
    <x v="1"/>
    <n v="20"/>
    <x v="0"/>
    <n v="0"/>
    <n v="0"/>
    <x v="0"/>
    <x v="171"/>
    <x v="4"/>
    <x v="1"/>
  </r>
  <r>
    <x v="2"/>
    <x v="1"/>
    <x v="655"/>
    <x v="1"/>
    <n v="32"/>
    <x v="4"/>
    <n v="1"/>
    <n v="0"/>
    <x v="2"/>
    <x v="173"/>
    <x v="5"/>
    <x v="0"/>
  </r>
  <r>
    <x v="2"/>
    <x v="0"/>
    <x v="656"/>
    <x v="0"/>
    <n v="33"/>
    <x v="4"/>
    <n v="3"/>
    <n v="0"/>
    <x v="1"/>
    <x v="173"/>
    <x v="5"/>
    <x v="0"/>
  </r>
  <r>
    <x v="2"/>
    <x v="0"/>
    <x v="657"/>
    <x v="0"/>
    <n v="0.75"/>
    <x v="1"/>
    <n v="2"/>
    <n v="1"/>
    <x v="1"/>
    <x v="174"/>
    <x v="5"/>
    <x v="1"/>
  </r>
  <r>
    <x v="2"/>
    <x v="0"/>
    <x v="658"/>
    <x v="0"/>
    <n v="0.75"/>
    <x v="1"/>
    <n v="2"/>
    <n v="1"/>
    <x v="1"/>
    <x v="174"/>
    <x v="5"/>
    <x v="1"/>
  </r>
  <r>
    <x v="2"/>
    <x v="0"/>
    <x v="659"/>
    <x v="0"/>
    <n v="5"/>
    <x v="1"/>
    <n v="2"/>
    <n v="1"/>
    <x v="1"/>
    <x v="174"/>
    <x v="5"/>
    <x v="1"/>
  </r>
  <r>
    <x v="2"/>
    <x v="0"/>
    <x v="660"/>
    <x v="0"/>
    <n v="24"/>
    <x v="0"/>
    <n v="0"/>
    <n v="3"/>
    <x v="1"/>
    <x v="174"/>
    <x v="5"/>
    <x v="1"/>
  </r>
  <r>
    <x v="2"/>
    <x v="0"/>
    <x v="661"/>
    <x v="0"/>
    <n v="18"/>
    <x v="1"/>
    <n v="0"/>
    <n v="0"/>
    <x v="0"/>
    <x v="156"/>
    <x v="4"/>
    <x v="0"/>
  </r>
  <r>
    <x v="2"/>
    <x v="1"/>
    <x v="662"/>
    <x v="1"/>
    <n v="40"/>
    <x v="4"/>
    <n v="0"/>
    <n v="0"/>
    <x v="0"/>
    <x v="171"/>
    <x v="4"/>
    <x v="1"/>
  </r>
  <r>
    <x v="2"/>
    <x v="1"/>
    <x v="663"/>
    <x v="1"/>
    <n v="26"/>
    <x v="0"/>
    <n v="0"/>
    <n v="0"/>
    <x v="0"/>
    <x v="168"/>
    <x v="4"/>
    <x v="0"/>
  </r>
  <r>
    <x v="2"/>
    <x v="0"/>
    <x v="664"/>
    <x v="1"/>
    <n v="20"/>
    <x v="0"/>
    <n v="0"/>
    <n v="0"/>
    <x v="0"/>
    <x v="154"/>
    <x v="4"/>
    <x v="1"/>
  </r>
  <r>
    <x v="2"/>
    <x v="1"/>
    <x v="665"/>
    <x v="0"/>
    <n v="18"/>
    <x v="1"/>
    <n v="0"/>
    <n v="1"/>
    <x v="2"/>
    <x v="175"/>
    <x v="5"/>
    <x v="1"/>
  </r>
  <r>
    <x v="2"/>
    <x v="1"/>
    <x v="666"/>
    <x v="0"/>
    <n v="45"/>
    <x v="2"/>
    <n v="0"/>
    <n v="1"/>
    <x v="2"/>
    <x v="175"/>
    <x v="5"/>
    <x v="1"/>
  </r>
  <r>
    <x v="2"/>
    <x v="1"/>
    <x v="667"/>
    <x v="0"/>
    <n v="27"/>
    <x v="0"/>
    <n v="0"/>
    <n v="0"/>
    <x v="0"/>
    <x v="176"/>
    <x v="4"/>
    <x v="3"/>
  </r>
  <r>
    <x v="2"/>
    <x v="1"/>
    <x v="668"/>
    <x v="1"/>
    <n v="22"/>
    <x v="0"/>
    <n v="0"/>
    <n v="0"/>
    <x v="0"/>
    <x v="156"/>
    <x v="4"/>
    <x v="0"/>
  </r>
  <r>
    <x v="2"/>
    <x v="1"/>
    <x v="669"/>
    <x v="1"/>
    <n v="19"/>
    <x v="0"/>
    <n v="0"/>
    <n v="0"/>
    <x v="0"/>
    <x v="156"/>
    <x v="4"/>
    <x v="0"/>
  </r>
  <r>
    <x v="2"/>
    <x v="1"/>
    <x v="670"/>
    <x v="1"/>
    <n v="26"/>
    <x v="0"/>
    <n v="0"/>
    <n v="0"/>
    <x v="0"/>
    <x v="166"/>
    <x v="4"/>
    <x v="0"/>
  </r>
  <r>
    <x v="2"/>
    <x v="1"/>
    <x v="671"/>
    <x v="1"/>
    <n v="22"/>
    <x v="0"/>
    <n v="0"/>
    <n v="0"/>
    <x v="0"/>
    <x v="158"/>
    <x v="4"/>
    <x v="0"/>
  </r>
  <r>
    <x v="2"/>
    <x v="1"/>
    <x v="672"/>
    <x v="1"/>
    <s v="Unknown"/>
    <x v="7"/>
    <n v="0"/>
    <n v="0"/>
    <x v="0"/>
    <x v="154"/>
    <x v="4"/>
    <x v="1"/>
  </r>
  <r>
    <x v="2"/>
    <x v="1"/>
    <x v="673"/>
    <x v="1"/>
    <n v="20"/>
    <x v="0"/>
    <n v="0"/>
    <n v="0"/>
    <x v="0"/>
    <x v="177"/>
    <x v="4"/>
    <x v="1"/>
  </r>
  <r>
    <x v="2"/>
    <x v="0"/>
    <x v="674"/>
    <x v="1"/>
    <n v="32"/>
    <x v="4"/>
    <n v="0"/>
    <n v="0"/>
    <x v="0"/>
    <x v="178"/>
    <x v="3"/>
    <x v="0"/>
  </r>
  <r>
    <x v="2"/>
    <x v="1"/>
    <x v="675"/>
    <x v="1"/>
    <n v="21"/>
    <x v="0"/>
    <n v="0"/>
    <n v="0"/>
    <x v="0"/>
    <x v="166"/>
    <x v="4"/>
    <x v="0"/>
  </r>
  <r>
    <x v="2"/>
    <x v="1"/>
    <x v="676"/>
    <x v="1"/>
    <n v="18"/>
    <x v="1"/>
    <n v="0"/>
    <n v="0"/>
    <x v="0"/>
    <x v="179"/>
    <x v="4"/>
    <x v="0"/>
  </r>
  <r>
    <x v="2"/>
    <x v="1"/>
    <x v="677"/>
    <x v="1"/>
    <n v="26"/>
    <x v="0"/>
    <n v="0"/>
    <n v="0"/>
    <x v="0"/>
    <x v="168"/>
    <x v="4"/>
    <x v="0"/>
  </r>
  <r>
    <x v="2"/>
    <x v="1"/>
    <x v="678"/>
    <x v="1"/>
    <n v="6"/>
    <x v="1"/>
    <n v="1"/>
    <n v="1"/>
    <x v="3"/>
    <x v="180"/>
    <x v="5"/>
    <x v="1"/>
  </r>
  <r>
    <x v="2"/>
    <x v="1"/>
    <x v="679"/>
    <x v="0"/>
    <n v="9"/>
    <x v="1"/>
    <n v="1"/>
    <n v="1"/>
    <x v="3"/>
    <x v="180"/>
    <x v="5"/>
    <x v="1"/>
  </r>
  <r>
    <x v="2"/>
    <x v="1"/>
    <x v="680"/>
    <x v="1"/>
    <s v="Unknown"/>
    <x v="7"/>
    <n v="0"/>
    <n v="0"/>
    <x v="0"/>
    <x v="171"/>
    <x v="4"/>
    <x v="1"/>
  </r>
  <r>
    <x v="2"/>
    <x v="1"/>
    <x v="681"/>
    <x v="0"/>
    <s v="Unknown"/>
    <x v="7"/>
    <n v="0"/>
    <n v="2"/>
    <x v="3"/>
    <x v="180"/>
    <x v="5"/>
    <x v="1"/>
  </r>
  <r>
    <x v="2"/>
    <x v="1"/>
    <x v="682"/>
    <x v="0"/>
    <s v="Unknown"/>
    <x v="7"/>
    <n v="0"/>
    <n v="2"/>
    <x v="3"/>
    <x v="179"/>
    <x v="4"/>
    <x v="3"/>
  </r>
  <r>
    <x v="2"/>
    <x v="1"/>
    <x v="683"/>
    <x v="1"/>
    <n v="40"/>
    <x v="4"/>
    <n v="1"/>
    <n v="1"/>
    <x v="3"/>
    <x v="181"/>
    <x v="5"/>
    <x v="3"/>
  </r>
  <r>
    <x v="2"/>
    <x v="1"/>
    <x v="684"/>
    <x v="0"/>
    <n v="32"/>
    <x v="4"/>
    <n v="1"/>
    <n v="1"/>
    <x v="3"/>
    <x v="181"/>
    <x v="5"/>
    <x v="3"/>
  </r>
  <r>
    <x v="2"/>
    <x v="1"/>
    <x v="685"/>
    <x v="1"/>
    <n v="21"/>
    <x v="0"/>
    <n v="0"/>
    <n v="0"/>
    <x v="0"/>
    <x v="182"/>
    <x v="5"/>
    <x v="0"/>
  </r>
  <r>
    <x v="2"/>
    <x v="0"/>
    <x v="686"/>
    <x v="0"/>
    <n v="22"/>
    <x v="0"/>
    <n v="0"/>
    <n v="0"/>
    <x v="0"/>
    <x v="183"/>
    <x v="4"/>
    <x v="3"/>
  </r>
  <r>
    <x v="2"/>
    <x v="1"/>
    <x v="687"/>
    <x v="0"/>
    <n v="20"/>
    <x v="0"/>
    <n v="0"/>
    <n v="0"/>
    <x v="0"/>
    <x v="164"/>
    <x v="4"/>
    <x v="0"/>
  </r>
  <r>
    <x v="2"/>
    <x v="1"/>
    <x v="688"/>
    <x v="1"/>
    <n v="29"/>
    <x v="0"/>
    <n v="1"/>
    <n v="0"/>
    <x v="2"/>
    <x v="184"/>
    <x v="4"/>
    <x v="0"/>
  </r>
  <r>
    <x v="2"/>
    <x v="1"/>
    <x v="689"/>
    <x v="1"/>
    <n v="22"/>
    <x v="0"/>
    <n v="1"/>
    <n v="0"/>
    <x v="2"/>
    <x v="155"/>
    <x v="4"/>
    <x v="0"/>
  </r>
  <r>
    <x v="2"/>
    <x v="1"/>
    <x v="690"/>
    <x v="1"/>
    <n v="22"/>
    <x v="0"/>
    <n v="0"/>
    <n v="0"/>
    <x v="0"/>
    <x v="167"/>
    <x v="4"/>
    <x v="0"/>
  </r>
  <r>
    <x v="2"/>
    <x v="1"/>
    <x v="691"/>
    <x v="1"/>
    <n v="35"/>
    <x v="4"/>
    <n v="0"/>
    <n v="0"/>
    <x v="0"/>
    <x v="156"/>
    <x v="4"/>
    <x v="0"/>
  </r>
  <r>
    <x v="2"/>
    <x v="1"/>
    <x v="692"/>
    <x v="0"/>
    <n v="18.5"/>
    <x v="0"/>
    <n v="0"/>
    <n v="0"/>
    <x v="0"/>
    <x v="185"/>
    <x v="4"/>
    <x v="3"/>
  </r>
  <r>
    <x v="2"/>
    <x v="0"/>
    <x v="693"/>
    <x v="1"/>
    <n v="21"/>
    <x v="0"/>
    <n v="0"/>
    <n v="0"/>
    <x v="0"/>
    <x v="186"/>
    <x v="4"/>
    <x v="3"/>
  </r>
  <r>
    <x v="2"/>
    <x v="1"/>
    <x v="694"/>
    <x v="1"/>
    <n v="19"/>
    <x v="0"/>
    <n v="0"/>
    <n v="0"/>
    <x v="0"/>
    <x v="187"/>
    <x v="4"/>
    <x v="3"/>
  </r>
  <r>
    <x v="2"/>
    <x v="1"/>
    <x v="695"/>
    <x v="0"/>
    <n v="18"/>
    <x v="1"/>
    <n v="0"/>
    <n v="0"/>
    <x v="0"/>
    <x v="176"/>
    <x v="4"/>
    <x v="3"/>
  </r>
  <r>
    <x v="2"/>
    <x v="1"/>
    <x v="696"/>
    <x v="0"/>
    <n v="21"/>
    <x v="0"/>
    <n v="0"/>
    <n v="0"/>
    <x v="0"/>
    <x v="188"/>
    <x v="4"/>
    <x v="0"/>
  </r>
  <r>
    <x v="2"/>
    <x v="1"/>
    <x v="697"/>
    <x v="0"/>
    <n v="30"/>
    <x v="0"/>
    <n v="0"/>
    <n v="0"/>
    <x v="0"/>
    <x v="188"/>
    <x v="4"/>
    <x v="0"/>
  </r>
  <r>
    <x v="2"/>
    <x v="1"/>
    <x v="698"/>
    <x v="1"/>
    <n v="18"/>
    <x v="1"/>
    <n v="0"/>
    <n v="0"/>
    <x v="0"/>
    <x v="188"/>
    <x v="4"/>
    <x v="0"/>
  </r>
  <r>
    <x v="2"/>
    <x v="1"/>
    <x v="699"/>
    <x v="1"/>
    <n v="38"/>
    <x v="4"/>
    <n v="0"/>
    <n v="0"/>
    <x v="0"/>
    <x v="188"/>
    <x v="4"/>
    <x v="0"/>
  </r>
  <r>
    <x v="2"/>
    <x v="1"/>
    <x v="700"/>
    <x v="1"/>
    <n v="17"/>
    <x v="1"/>
    <n v="0"/>
    <n v="0"/>
    <x v="0"/>
    <x v="188"/>
    <x v="4"/>
    <x v="0"/>
  </r>
  <r>
    <x v="2"/>
    <x v="1"/>
    <x v="701"/>
    <x v="1"/>
    <n v="17"/>
    <x v="1"/>
    <n v="0"/>
    <n v="0"/>
    <x v="0"/>
    <x v="188"/>
    <x v="4"/>
    <x v="0"/>
  </r>
  <r>
    <x v="2"/>
    <x v="1"/>
    <x v="702"/>
    <x v="0"/>
    <n v="21"/>
    <x v="0"/>
    <n v="0"/>
    <n v="0"/>
    <x v="0"/>
    <x v="179"/>
    <x v="4"/>
    <x v="3"/>
  </r>
  <r>
    <x v="2"/>
    <x v="1"/>
    <x v="703"/>
    <x v="1"/>
    <n v="21"/>
    <x v="0"/>
    <n v="0"/>
    <n v="0"/>
    <x v="0"/>
    <x v="179"/>
    <x v="4"/>
    <x v="3"/>
  </r>
  <r>
    <x v="2"/>
    <x v="1"/>
    <x v="704"/>
    <x v="1"/>
    <n v="21"/>
    <x v="0"/>
    <n v="0"/>
    <n v="0"/>
    <x v="0"/>
    <x v="156"/>
    <x v="4"/>
    <x v="0"/>
  </r>
  <r>
    <x v="2"/>
    <x v="1"/>
    <x v="705"/>
    <x v="1"/>
    <s v="Unknown"/>
    <x v="7"/>
    <n v="1"/>
    <n v="0"/>
    <x v="2"/>
    <x v="172"/>
    <x v="5"/>
    <x v="1"/>
  </r>
  <r>
    <x v="2"/>
    <x v="1"/>
    <x v="706"/>
    <x v="0"/>
    <s v="Unknown"/>
    <x v="7"/>
    <n v="1"/>
    <n v="0"/>
    <x v="2"/>
    <x v="172"/>
    <x v="5"/>
    <x v="1"/>
  </r>
  <r>
    <x v="2"/>
    <x v="1"/>
    <x v="707"/>
    <x v="1"/>
    <n v="28"/>
    <x v="0"/>
    <n v="0"/>
    <n v="0"/>
    <x v="0"/>
    <x v="167"/>
    <x v="4"/>
    <x v="0"/>
  </r>
  <r>
    <x v="2"/>
    <x v="1"/>
    <x v="708"/>
    <x v="1"/>
    <n v="24"/>
    <x v="0"/>
    <n v="0"/>
    <n v="0"/>
    <x v="0"/>
    <x v="164"/>
    <x v="4"/>
    <x v="0"/>
  </r>
  <r>
    <x v="2"/>
    <x v="0"/>
    <x v="709"/>
    <x v="0"/>
    <n v="16"/>
    <x v="1"/>
    <n v="0"/>
    <n v="0"/>
    <x v="0"/>
    <x v="179"/>
    <x v="4"/>
    <x v="3"/>
  </r>
  <r>
    <x v="2"/>
    <x v="1"/>
    <x v="710"/>
    <x v="0"/>
    <n v="37"/>
    <x v="4"/>
    <n v="0"/>
    <n v="0"/>
    <x v="0"/>
    <x v="179"/>
    <x v="4"/>
    <x v="3"/>
  </r>
  <r>
    <x v="2"/>
    <x v="1"/>
    <x v="711"/>
    <x v="1"/>
    <n v="28"/>
    <x v="0"/>
    <n v="0"/>
    <n v="0"/>
    <x v="0"/>
    <x v="155"/>
    <x v="4"/>
    <x v="0"/>
  </r>
  <r>
    <x v="2"/>
    <x v="1"/>
    <x v="712"/>
    <x v="1"/>
    <n v="24"/>
    <x v="0"/>
    <n v="0"/>
    <n v="0"/>
    <x v="0"/>
    <x v="156"/>
    <x v="4"/>
    <x v="0"/>
  </r>
  <r>
    <x v="2"/>
    <x v="1"/>
    <x v="713"/>
    <x v="1"/>
    <n v="21"/>
    <x v="0"/>
    <n v="0"/>
    <n v="0"/>
    <x v="0"/>
    <x v="189"/>
    <x v="4"/>
    <x v="3"/>
  </r>
  <r>
    <x v="2"/>
    <x v="0"/>
    <x v="714"/>
    <x v="1"/>
    <n v="32"/>
    <x v="4"/>
    <n v="0"/>
    <n v="0"/>
    <x v="0"/>
    <x v="178"/>
    <x v="3"/>
    <x v="0"/>
  </r>
  <r>
    <x v="2"/>
    <x v="1"/>
    <x v="715"/>
    <x v="1"/>
    <n v="29"/>
    <x v="0"/>
    <n v="0"/>
    <n v="0"/>
    <x v="0"/>
    <x v="156"/>
    <x v="4"/>
    <x v="0"/>
  </r>
  <r>
    <x v="2"/>
    <x v="1"/>
    <x v="716"/>
    <x v="1"/>
    <n v="26"/>
    <x v="0"/>
    <n v="1"/>
    <n v="0"/>
    <x v="2"/>
    <x v="175"/>
    <x v="5"/>
    <x v="1"/>
  </r>
  <r>
    <x v="2"/>
    <x v="1"/>
    <x v="717"/>
    <x v="1"/>
    <n v="18"/>
    <x v="1"/>
    <n v="1"/>
    <n v="0"/>
    <x v="2"/>
    <x v="175"/>
    <x v="5"/>
    <x v="1"/>
  </r>
  <r>
    <x v="2"/>
    <x v="1"/>
    <x v="718"/>
    <x v="1"/>
    <n v="20"/>
    <x v="0"/>
    <n v="0"/>
    <n v="0"/>
    <x v="0"/>
    <x v="161"/>
    <x v="4"/>
    <x v="0"/>
  </r>
  <r>
    <x v="2"/>
    <x v="0"/>
    <x v="719"/>
    <x v="1"/>
    <n v="18"/>
    <x v="1"/>
    <n v="0"/>
    <n v="0"/>
    <x v="0"/>
    <x v="156"/>
    <x v="4"/>
    <x v="0"/>
  </r>
  <r>
    <x v="2"/>
    <x v="1"/>
    <x v="720"/>
    <x v="1"/>
    <n v="24"/>
    <x v="0"/>
    <n v="0"/>
    <n v="0"/>
    <x v="0"/>
    <x v="155"/>
    <x v="4"/>
    <x v="3"/>
  </r>
  <r>
    <x v="2"/>
    <x v="1"/>
    <x v="721"/>
    <x v="1"/>
    <n v="36"/>
    <x v="4"/>
    <n v="0"/>
    <n v="0"/>
    <x v="0"/>
    <x v="190"/>
    <x v="4"/>
    <x v="0"/>
  </r>
  <r>
    <x v="2"/>
    <x v="1"/>
    <x v="722"/>
    <x v="1"/>
    <n v="24"/>
    <x v="0"/>
    <n v="0"/>
    <n v="0"/>
    <x v="0"/>
    <x v="190"/>
    <x v="4"/>
    <x v="0"/>
  </r>
  <r>
    <x v="2"/>
    <x v="1"/>
    <x v="723"/>
    <x v="1"/>
    <n v="31"/>
    <x v="4"/>
    <n v="0"/>
    <n v="0"/>
    <x v="0"/>
    <x v="189"/>
    <x v="4"/>
    <x v="3"/>
  </r>
  <r>
    <x v="2"/>
    <x v="1"/>
    <x v="724"/>
    <x v="1"/>
    <n v="31"/>
    <x v="4"/>
    <n v="0"/>
    <n v="0"/>
    <x v="0"/>
    <x v="179"/>
    <x v="4"/>
    <x v="3"/>
  </r>
  <r>
    <x v="2"/>
    <x v="0"/>
    <x v="725"/>
    <x v="0"/>
    <n v="22"/>
    <x v="0"/>
    <n v="0"/>
    <n v="0"/>
    <x v="0"/>
    <x v="179"/>
    <x v="4"/>
    <x v="3"/>
  </r>
  <r>
    <x v="2"/>
    <x v="1"/>
    <x v="725"/>
    <x v="0"/>
    <n v="30"/>
    <x v="0"/>
    <n v="0"/>
    <n v="0"/>
    <x v="0"/>
    <x v="191"/>
    <x v="4"/>
    <x v="3"/>
  </r>
  <r>
    <x v="2"/>
    <x v="1"/>
    <x v="726"/>
    <x v="1"/>
    <n v="70.5"/>
    <x v="6"/>
    <n v="0"/>
    <n v="0"/>
    <x v="0"/>
    <x v="179"/>
    <x v="4"/>
    <x v="3"/>
  </r>
  <r>
    <x v="2"/>
    <x v="1"/>
    <x v="727"/>
    <x v="1"/>
    <n v="43"/>
    <x v="2"/>
    <n v="0"/>
    <n v="0"/>
    <x v="0"/>
    <x v="156"/>
    <x v="4"/>
    <x v="0"/>
  </r>
  <r>
    <x v="2"/>
    <x v="1"/>
    <x v="728"/>
    <x v="1"/>
    <n v="35"/>
    <x v="4"/>
    <n v="0"/>
    <n v="0"/>
    <x v="0"/>
    <x v="168"/>
    <x v="4"/>
    <x v="0"/>
  </r>
  <r>
    <x v="2"/>
    <x v="1"/>
    <x v="729"/>
    <x v="1"/>
    <n v="27"/>
    <x v="0"/>
    <n v="0"/>
    <n v="0"/>
    <x v="0"/>
    <x v="168"/>
    <x v="4"/>
    <x v="0"/>
  </r>
  <r>
    <x v="2"/>
    <x v="1"/>
    <x v="730"/>
    <x v="1"/>
    <n v="19"/>
    <x v="0"/>
    <n v="0"/>
    <n v="0"/>
    <x v="0"/>
    <x v="168"/>
    <x v="4"/>
    <x v="0"/>
  </r>
  <r>
    <x v="2"/>
    <x v="1"/>
    <x v="731"/>
    <x v="1"/>
    <n v="30"/>
    <x v="0"/>
    <n v="0"/>
    <n v="0"/>
    <x v="0"/>
    <x v="156"/>
    <x v="4"/>
    <x v="0"/>
  </r>
  <r>
    <x v="2"/>
    <x v="0"/>
    <x v="732"/>
    <x v="1"/>
    <n v="9"/>
    <x v="1"/>
    <n v="1"/>
    <n v="1"/>
    <x v="3"/>
    <x v="192"/>
    <x v="5"/>
    <x v="0"/>
  </r>
  <r>
    <x v="2"/>
    <x v="0"/>
    <x v="733"/>
    <x v="1"/>
    <n v="3"/>
    <x v="1"/>
    <n v="1"/>
    <n v="1"/>
    <x v="3"/>
    <x v="192"/>
    <x v="5"/>
    <x v="0"/>
  </r>
  <r>
    <x v="2"/>
    <x v="0"/>
    <x v="734"/>
    <x v="0"/>
    <n v="36"/>
    <x v="4"/>
    <n v="0"/>
    <n v="2"/>
    <x v="3"/>
    <x v="192"/>
    <x v="5"/>
    <x v="0"/>
  </r>
  <r>
    <x v="2"/>
    <x v="1"/>
    <x v="735"/>
    <x v="1"/>
    <n v="59"/>
    <x v="5"/>
    <n v="0"/>
    <n v="0"/>
    <x v="0"/>
    <x v="155"/>
    <x v="4"/>
    <x v="0"/>
  </r>
  <r>
    <x v="2"/>
    <x v="1"/>
    <x v="736"/>
    <x v="1"/>
    <n v="19"/>
    <x v="0"/>
    <n v="0"/>
    <n v="0"/>
    <x v="0"/>
    <x v="193"/>
    <x v="4"/>
    <x v="0"/>
  </r>
  <r>
    <x v="2"/>
    <x v="0"/>
    <x v="737"/>
    <x v="0"/>
    <n v="17"/>
    <x v="1"/>
    <n v="0"/>
    <n v="1"/>
    <x v="2"/>
    <x v="182"/>
    <x v="5"/>
    <x v="0"/>
  </r>
  <r>
    <x v="2"/>
    <x v="1"/>
    <x v="738"/>
    <x v="1"/>
    <n v="44"/>
    <x v="2"/>
    <n v="0"/>
    <n v="1"/>
    <x v="2"/>
    <x v="182"/>
    <x v="5"/>
    <x v="0"/>
  </r>
  <r>
    <x v="2"/>
    <x v="1"/>
    <x v="739"/>
    <x v="1"/>
    <n v="17"/>
    <x v="1"/>
    <n v="0"/>
    <n v="0"/>
    <x v="0"/>
    <x v="188"/>
    <x v="4"/>
    <x v="0"/>
  </r>
  <r>
    <x v="2"/>
    <x v="1"/>
    <x v="740"/>
    <x v="1"/>
    <n v="22.5"/>
    <x v="0"/>
    <n v="0"/>
    <n v="0"/>
    <x v="0"/>
    <x v="171"/>
    <x v="4"/>
    <x v="1"/>
  </r>
  <r>
    <x v="2"/>
    <x v="0"/>
    <x v="741"/>
    <x v="1"/>
    <n v="45"/>
    <x v="2"/>
    <n v="0"/>
    <n v="0"/>
    <x v="0"/>
    <x v="156"/>
    <x v="4"/>
    <x v="0"/>
  </r>
  <r>
    <x v="2"/>
    <x v="1"/>
    <x v="742"/>
    <x v="0"/>
    <n v="22"/>
    <x v="0"/>
    <n v="0"/>
    <n v="0"/>
    <x v="0"/>
    <x v="194"/>
    <x v="5"/>
    <x v="0"/>
  </r>
  <r>
    <x v="2"/>
    <x v="1"/>
    <x v="743"/>
    <x v="1"/>
    <n v="19"/>
    <x v="0"/>
    <n v="0"/>
    <n v="0"/>
    <x v="0"/>
    <x v="195"/>
    <x v="5"/>
    <x v="0"/>
  </r>
  <r>
    <x v="2"/>
    <x v="0"/>
    <x v="744"/>
    <x v="0"/>
    <n v="30"/>
    <x v="0"/>
    <n v="0"/>
    <n v="0"/>
    <x v="0"/>
    <x v="196"/>
    <x v="4"/>
    <x v="3"/>
  </r>
  <r>
    <x v="2"/>
    <x v="0"/>
    <x v="745"/>
    <x v="1"/>
    <n v="29"/>
    <x v="0"/>
    <n v="0"/>
    <n v="0"/>
    <x v="0"/>
    <x v="179"/>
    <x v="4"/>
    <x v="3"/>
  </r>
  <r>
    <x v="2"/>
    <x v="1"/>
    <x v="746"/>
    <x v="1"/>
    <n v="0.33329999999999999"/>
    <x v="1"/>
    <n v="0"/>
    <n v="2"/>
    <x v="3"/>
    <x v="197"/>
    <x v="5"/>
    <x v="0"/>
  </r>
  <r>
    <x v="2"/>
    <x v="1"/>
    <x v="747"/>
    <x v="1"/>
    <n v="34"/>
    <x v="4"/>
    <n v="1"/>
    <n v="1"/>
    <x v="3"/>
    <x v="197"/>
    <x v="5"/>
    <x v="0"/>
  </r>
  <r>
    <x v="2"/>
    <x v="1"/>
    <x v="748"/>
    <x v="0"/>
    <n v="28"/>
    <x v="0"/>
    <n v="1"/>
    <n v="1"/>
    <x v="3"/>
    <x v="197"/>
    <x v="5"/>
    <x v="0"/>
  </r>
  <r>
    <x v="2"/>
    <x v="1"/>
    <x v="749"/>
    <x v="1"/>
    <n v="27"/>
    <x v="0"/>
    <n v="0"/>
    <n v="0"/>
    <x v="0"/>
    <x v="168"/>
    <x v="4"/>
    <x v="0"/>
  </r>
  <r>
    <x v="2"/>
    <x v="1"/>
    <x v="750"/>
    <x v="1"/>
    <n v="25"/>
    <x v="0"/>
    <n v="0"/>
    <n v="0"/>
    <x v="0"/>
    <x v="168"/>
    <x v="4"/>
    <x v="0"/>
  </r>
  <r>
    <x v="2"/>
    <x v="1"/>
    <x v="751"/>
    <x v="1"/>
    <n v="24"/>
    <x v="0"/>
    <n v="2"/>
    <n v="0"/>
    <x v="3"/>
    <x v="198"/>
    <x v="5"/>
    <x v="0"/>
  </r>
  <r>
    <x v="2"/>
    <x v="1"/>
    <x v="752"/>
    <x v="1"/>
    <n v="22"/>
    <x v="0"/>
    <n v="0"/>
    <n v="0"/>
    <x v="0"/>
    <x v="156"/>
    <x v="4"/>
    <x v="0"/>
  </r>
  <r>
    <x v="2"/>
    <x v="1"/>
    <x v="753"/>
    <x v="1"/>
    <n v="21"/>
    <x v="0"/>
    <n v="2"/>
    <n v="0"/>
    <x v="3"/>
    <x v="198"/>
    <x v="5"/>
    <x v="0"/>
  </r>
  <r>
    <x v="2"/>
    <x v="1"/>
    <x v="754"/>
    <x v="1"/>
    <n v="17"/>
    <x v="1"/>
    <n v="2"/>
    <n v="0"/>
    <x v="3"/>
    <x v="156"/>
    <x v="4"/>
    <x v="0"/>
  </r>
  <r>
    <x v="2"/>
    <x v="1"/>
    <x v="755"/>
    <x v="1"/>
    <s v="Unknown"/>
    <x v="7"/>
    <n v="1"/>
    <n v="0"/>
    <x v="2"/>
    <x v="182"/>
    <x v="5"/>
    <x v="0"/>
  </r>
  <r>
    <x v="2"/>
    <x v="0"/>
    <x v="756"/>
    <x v="0"/>
    <s v="Unknown"/>
    <x v="7"/>
    <n v="1"/>
    <n v="0"/>
    <x v="2"/>
    <x v="182"/>
    <x v="5"/>
    <x v="0"/>
  </r>
  <r>
    <x v="2"/>
    <x v="0"/>
    <x v="757"/>
    <x v="1"/>
    <n v="36.5"/>
    <x v="4"/>
    <n v="1"/>
    <n v="0"/>
    <x v="2"/>
    <x v="199"/>
    <x v="5"/>
    <x v="0"/>
  </r>
  <r>
    <x v="2"/>
    <x v="0"/>
    <x v="758"/>
    <x v="0"/>
    <n v="36"/>
    <x v="4"/>
    <n v="1"/>
    <n v="0"/>
    <x v="2"/>
    <x v="199"/>
    <x v="5"/>
    <x v="0"/>
  </r>
  <r>
    <x v="2"/>
    <x v="0"/>
    <x v="759"/>
    <x v="1"/>
    <n v="30"/>
    <x v="0"/>
    <n v="0"/>
    <n v="0"/>
    <x v="0"/>
    <x v="200"/>
    <x v="4"/>
    <x v="0"/>
  </r>
  <r>
    <x v="2"/>
    <x v="1"/>
    <x v="760"/>
    <x v="1"/>
    <n v="16"/>
    <x v="1"/>
    <n v="0"/>
    <n v="0"/>
    <x v="0"/>
    <x v="200"/>
    <x v="4"/>
    <x v="0"/>
  </r>
  <r>
    <x v="2"/>
    <x v="0"/>
    <x v="761"/>
    <x v="1"/>
    <n v="1"/>
    <x v="1"/>
    <n v="1"/>
    <n v="2"/>
    <x v="1"/>
    <x v="201"/>
    <x v="5"/>
    <x v="0"/>
  </r>
  <r>
    <x v="2"/>
    <x v="0"/>
    <x v="762"/>
    <x v="0"/>
    <n v="0.16669999999999999"/>
    <x v="1"/>
    <n v="1"/>
    <n v="2"/>
    <x v="1"/>
    <x v="201"/>
    <x v="5"/>
    <x v="0"/>
  </r>
  <r>
    <x v="2"/>
    <x v="1"/>
    <x v="763"/>
    <x v="1"/>
    <n v="26"/>
    <x v="0"/>
    <n v="1"/>
    <n v="2"/>
    <x v="1"/>
    <x v="201"/>
    <x v="5"/>
    <x v="0"/>
  </r>
  <r>
    <x v="2"/>
    <x v="0"/>
    <x v="764"/>
    <x v="0"/>
    <n v="33"/>
    <x v="4"/>
    <n v="1"/>
    <n v="2"/>
    <x v="1"/>
    <x v="201"/>
    <x v="5"/>
    <x v="0"/>
  </r>
  <r>
    <x v="2"/>
    <x v="1"/>
    <x v="765"/>
    <x v="1"/>
    <n v="25"/>
    <x v="0"/>
    <n v="0"/>
    <n v="0"/>
    <x v="0"/>
    <x v="168"/>
    <x v="4"/>
    <x v="0"/>
  </r>
  <r>
    <x v="2"/>
    <x v="1"/>
    <x v="766"/>
    <x v="1"/>
    <s v="Unknown"/>
    <x v="7"/>
    <n v="0"/>
    <n v="0"/>
    <x v="0"/>
    <x v="168"/>
    <x v="4"/>
    <x v="0"/>
  </r>
  <r>
    <x v="2"/>
    <x v="1"/>
    <x v="767"/>
    <x v="1"/>
    <s v="Unknown"/>
    <x v="7"/>
    <n v="0"/>
    <n v="0"/>
    <x v="0"/>
    <x v="168"/>
    <x v="4"/>
    <x v="0"/>
  </r>
  <r>
    <x v="2"/>
    <x v="1"/>
    <x v="768"/>
    <x v="1"/>
    <n v="22"/>
    <x v="0"/>
    <n v="0"/>
    <n v="0"/>
    <x v="0"/>
    <x v="155"/>
    <x v="4"/>
    <x v="0"/>
  </r>
  <r>
    <x v="2"/>
    <x v="1"/>
    <x v="769"/>
    <x v="1"/>
    <n v="36"/>
    <x v="4"/>
    <n v="0"/>
    <n v="0"/>
    <x v="0"/>
    <x v="155"/>
    <x v="4"/>
    <x v="0"/>
  </r>
  <r>
    <x v="2"/>
    <x v="0"/>
    <x v="770"/>
    <x v="0"/>
    <n v="19"/>
    <x v="0"/>
    <n v="0"/>
    <n v="0"/>
    <x v="0"/>
    <x v="176"/>
    <x v="4"/>
    <x v="3"/>
  </r>
  <r>
    <x v="2"/>
    <x v="1"/>
    <x v="771"/>
    <x v="1"/>
    <n v="17"/>
    <x v="1"/>
    <n v="0"/>
    <n v="0"/>
    <x v="0"/>
    <x v="168"/>
    <x v="4"/>
    <x v="0"/>
  </r>
  <r>
    <x v="2"/>
    <x v="1"/>
    <x v="772"/>
    <x v="1"/>
    <n v="42"/>
    <x v="2"/>
    <n v="0"/>
    <n v="0"/>
    <x v="0"/>
    <x v="188"/>
    <x v="4"/>
    <x v="0"/>
  </r>
  <r>
    <x v="2"/>
    <x v="1"/>
    <x v="773"/>
    <x v="1"/>
    <n v="43"/>
    <x v="2"/>
    <n v="0"/>
    <n v="0"/>
    <x v="0"/>
    <x v="168"/>
    <x v="4"/>
    <x v="0"/>
  </r>
  <r>
    <x v="2"/>
    <x v="1"/>
    <x v="774"/>
    <x v="1"/>
    <s v="Unknown"/>
    <x v="7"/>
    <n v="0"/>
    <n v="0"/>
    <x v="0"/>
    <x v="154"/>
    <x v="4"/>
    <x v="1"/>
  </r>
  <r>
    <x v="2"/>
    <x v="1"/>
    <x v="775"/>
    <x v="1"/>
    <n v="32"/>
    <x v="4"/>
    <n v="0"/>
    <n v="0"/>
    <x v="0"/>
    <x v="179"/>
    <x v="4"/>
    <x v="3"/>
  </r>
  <r>
    <x v="2"/>
    <x v="0"/>
    <x v="776"/>
    <x v="1"/>
    <n v="19"/>
    <x v="0"/>
    <n v="0"/>
    <n v="0"/>
    <x v="0"/>
    <x v="156"/>
    <x v="4"/>
    <x v="0"/>
  </r>
  <r>
    <x v="2"/>
    <x v="0"/>
    <x v="777"/>
    <x v="0"/>
    <n v="30"/>
    <x v="0"/>
    <n v="0"/>
    <n v="0"/>
    <x v="0"/>
    <x v="202"/>
    <x v="5"/>
    <x v="0"/>
  </r>
  <r>
    <x v="2"/>
    <x v="1"/>
    <x v="778"/>
    <x v="0"/>
    <n v="24"/>
    <x v="0"/>
    <n v="0"/>
    <n v="0"/>
    <x v="0"/>
    <x v="179"/>
    <x v="4"/>
    <x v="3"/>
  </r>
  <r>
    <x v="2"/>
    <x v="0"/>
    <x v="779"/>
    <x v="0"/>
    <n v="23"/>
    <x v="0"/>
    <n v="0"/>
    <n v="0"/>
    <x v="0"/>
    <x v="156"/>
    <x v="4"/>
    <x v="0"/>
  </r>
  <r>
    <x v="2"/>
    <x v="1"/>
    <x v="780"/>
    <x v="1"/>
    <n v="33"/>
    <x v="4"/>
    <n v="0"/>
    <n v="0"/>
    <x v="0"/>
    <x v="168"/>
    <x v="4"/>
    <x v="1"/>
  </r>
  <r>
    <x v="2"/>
    <x v="1"/>
    <x v="781"/>
    <x v="1"/>
    <n v="65"/>
    <x v="3"/>
    <n v="0"/>
    <n v="0"/>
    <x v="0"/>
    <x v="179"/>
    <x v="4"/>
    <x v="3"/>
  </r>
  <r>
    <x v="2"/>
    <x v="0"/>
    <x v="782"/>
    <x v="1"/>
    <n v="24"/>
    <x v="0"/>
    <n v="0"/>
    <n v="0"/>
    <x v="0"/>
    <x v="150"/>
    <x v="4"/>
    <x v="0"/>
  </r>
  <r>
    <x v="2"/>
    <x v="1"/>
    <x v="783"/>
    <x v="1"/>
    <n v="23"/>
    <x v="0"/>
    <n v="1"/>
    <n v="0"/>
    <x v="2"/>
    <x v="203"/>
    <x v="5"/>
    <x v="0"/>
  </r>
  <r>
    <x v="2"/>
    <x v="0"/>
    <x v="784"/>
    <x v="0"/>
    <n v="22"/>
    <x v="0"/>
    <n v="1"/>
    <n v="0"/>
    <x v="2"/>
    <x v="203"/>
    <x v="5"/>
    <x v="0"/>
  </r>
  <r>
    <x v="2"/>
    <x v="1"/>
    <x v="785"/>
    <x v="1"/>
    <n v="18"/>
    <x v="1"/>
    <n v="0"/>
    <n v="0"/>
    <x v="0"/>
    <x v="166"/>
    <x v="4"/>
    <x v="0"/>
  </r>
  <r>
    <x v="2"/>
    <x v="1"/>
    <x v="786"/>
    <x v="1"/>
    <n v="16"/>
    <x v="1"/>
    <n v="0"/>
    <n v="0"/>
    <x v="0"/>
    <x v="166"/>
    <x v="4"/>
    <x v="0"/>
  </r>
  <r>
    <x v="2"/>
    <x v="1"/>
    <x v="787"/>
    <x v="1"/>
    <n v="45"/>
    <x v="2"/>
    <n v="0"/>
    <n v="0"/>
    <x v="0"/>
    <x v="204"/>
    <x v="4"/>
    <x v="0"/>
  </r>
  <r>
    <x v="2"/>
    <x v="1"/>
    <x v="788"/>
    <x v="1"/>
    <s v="Unknown"/>
    <x v="7"/>
    <n v="0"/>
    <n v="0"/>
    <x v="0"/>
    <x v="171"/>
    <x v="4"/>
    <x v="1"/>
  </r>
  <r>
    <x v="2"/>
    <x v="1"/>
    <x v="789"/>
    <x v="1"/>
    <n v="39"/>
    <x v="4"/>
    <n v="0"/>
    <n v="2"/>
    <x v="3"/>
    <x v="154"/>
    <x v="4"/>
    <x v="1"/>
  </r>
  <r>
    <x v="2"/>
    <x v="1"/>
    <x v="790"/>
    <x v="1"/>
    <n v="17"/>
    <x v="1"/>
    <n v="1"/>
    <n v="1"/>
    <x v="3"/>
    <x v="154"/>
    <x v="4"/>
    <x v="1"/>
  </r>
  <r>
    <x v="2"/>
    <x v="1"/>
    <x v="791"/>
    <x v="1"/>
    <n v="15"/>
    <x v="1"/>
    <n v="1"/>
    <n v="1"/>
    <x v="3"/>
    <x v="154"/>
    <x v="4"/>
    <x v="1"/>
  </r>
  <r>
    <x v="2"/>
    <x v="1"/>
    <x v="792"/>
    <x v="1"/>
    <n v="47"/>
    <x v="2"/>
    <n v="0"/>
    <n v="0"/>
    <x v="0"/>
    <x v="155"/>
    <x v="4"/>
    <x v="0"/>
  </r>
  <r>
    <x v="2"/>
    <x v="0"/>
    <x v="793"/>
    <x v="0"/>
    <n v="5"/>
    <x v="1"/>
    <n v="0"/>
    <n v="0"/>
    <x v="0"/>
    <x v="202"/>
    <x v="5"/>
    <x v="0"/>
  </r>
  <r>
    <x v="2"/>
    <x v="1"/>
    <x v="794"/>
    <x v="1"/>
    <s v="Unknown"/>
    <x v="7"/>
    <n v="0"/>
    <n v="0"/>
    <x v="0"/>
    <x v="171"/>
    <x v="4"/>
    <x v="1"/>
  </r>
  <r>
    <x v="2"/>
    <x v="1"/>
    <x v="795"/>
    <x v="1"/>
    <n v="40.5"/>
    <x v="4"/>
    <n v="0"/>
    <n v="0"/>
    <x v="0"/>
    <x v="205"/>
    <x v="5"/>
    <x v="0"/>
  </r>
  <r>
    <x v="2"/>
    <x v="1"/>
    <x v="796"/>
    <x v="1"/>
    <n v="40.5"/>
    <x v="4"/>
    <n v="0"/>
    <n v="0"/>
    <x v="0"/>
    <x v="179"/>
    <x v="4"/>
    <x v="3"/>
  </r>
  <r>
    <x v="2"/>
    <x v="0"/>
    <x v="797"/>
    <x v="1"/>
    <s v="Unknown"/>
    <x v="7"/>
    <n v="0"/>
    <n v="0"/>
    <x v="0"/>
    <x v="161"/>
    <x v="4"/>
    <x v="0"/>
  </r>
  <r>
    <x v="2"/>
    <x v="1"/>
    <x v="798"/>
    <x v="1"/>
    <n v="18"/>
    <x v="1"/>
    <n v="0"/>
    <n v="0"/>
    <x v="0"/>
    <x v="167"/>
    <x v="4"/>
    <x v="0"/>
  </r>
  <r>
    <x v="2"/>
    <x v="1"/>
    <x v="799"/>
    <x v="0"/>
    <s v="Unknown"/>
    <x v="7"/>
    <n v="0"/>
    <n v="0"/>
    <x v="0"/>
    <x v="179"/>
    <x v="4"/>
    <x v="3"/>
  </r>
  <r>
    <x v="2"/>
    <x v="1"/>
    <x v="800"/>
    <x v="1"/>
    <s v="Unknown"/>
    <x v="7"/>
    <n v="0"/>
    <n v="0"/>
    <x v="0"/>
    <x v="179"/>
    <x v="4"/>
    <x v="3"/>
  </r>
  <r>
    <x v="2"/>
    <x v="1"/>
    <x v="801"/>
    <x v="1"/>
    <s v="Unknown"/>
    <x v="7"/>
    <n v="0"/>
    <n v="0"/>
    <x v="0"/>
    <x v="196"/>
    <x v="4"/>
    <x v="3"/>
  </r>
  <r>
    <x v="2"/>
    <x v="1"/>
    <x v="802"/>
    <x v="1"/>
    <n v="26"/>
    <x v="0"/>
    <n v="0"/>
    <n v="0"/>
    <x v="0"/>
    <x v="176"/>
    <x v="4"/>
    <x v="3"/>
  </r>
  <r>
    <x v="2"/>
    <x v="1"/>
    <x v="803"/>
    <x v="1"/>
    <s v="Unknown"/>
    <x v="7"/>
    <n v="0"/>
    <n v="0"/>
    <x v="0"/>
    <x v="179"/>
    <x v="4"/>
    <x v="3"/>
  </r>
  <r>
    <x v="2"/>
    <x v="0"/>
    <x v="804"/>
    <x v="1"/>
    <s v="Unknown"/>
    <x v="7"/>
    <n v="0"/>
    <n v="0"/>
    <x v="0"/>
    <x v="178"/>
    <x v="3"/>
    <x v="0"/>
  </r>
  <r>
    <x v="2"/>
    <x v="1"/>
    <x v="805"/>
    <x v="0"/>
    <n v="21"/>
    <x v="0"/>
    <n v="2"/>
    <n v="2"/>
    <x v="5"/>
    <x v="206"/>
    <x v="2"/>
    <x v="0"/>
  </r>
  <r>
    <x v="2"/>
    <x v="1"/>
    <x v="806"/>
    <x v="0"/>
    <n v="9"/>
    <x v="1"/>
    <n v="2"/>
    <n v="2"/>
    <x v="5"/>
    <x v="206"/>
    <x v="2"/>
    <x v="0"/>
  </r>
  <r>
    <x v="2"/>
    <x v="1"/>
    <x v="807"/>
    <x v="1"/>
    <s v="Unknown"/>
    <x v="7"/>
    <n v="0"/>
    <n v="0"/>
    <x v="0"/>
    <x v="156"/>
    <x v="4"/>
    <x v="0"/>
  </r>
  <r>
    <x v="2"/>
    <x v="1"/>
    <x v="808"/>
    <x v="1"/>
    <n v="18"/>
    <x v="1"/>
    <n v="2"/>
    <n v="2"/>
    <x v="5"/>
    <x v="206"/>
    <x v="2"/>
    <x v="0"/>
  </r>
  <r>
    <x v="2"/>
    <x v="1"/>
    <x v="809"/>
    <x v="1"/>
    <n v="16"/>
    <x v="1"/>
    <n v="1"/>
    <n v="3"/>
    <x v="5"/>
    <x v="206"/>
    <x v="2"/>
    <x v="0"/>
  </r>
  <r>
    <x v="2"/>
    <x v="1"/>
    <x v="810"/>
    <x v="0"/>
    <n v="48"/>
    <x v="2"/>
    <n v="1"/>
    <n v="3"/>
    <x v="5"/>
    <x v="206"/>
    <x v="2"/>
    <x v="0"/>
  </r>
  <r>
    <x v="2"/>
    <x v="1"/>
    <x v="811"/>
    <x v="1"/>
    <s v="Unknown"/>
    <x v="7"/>
    <n v="0"/>
    <n v="0"/>
    <x v="0"/>
    <x v="179"/>
    <x v="4"/>
    <x v="3"/>
  </r>
  <r>
    <x v="2"/>
    <x v="1"/>
    <x v="812"/>
    <x v="1"/>
    <s v="Unknown"/>
    <x v="7"/>
    <n v="0"/>
    <n v="0"/>
    <x v="0"/>
    <x v="155"/>
    <x v="4"/>
    <x v="0"/>
  </r>
  <r>
    <x v="2"/>
    <x v="1"/>
    <x v="813"/>
    <x v="1"/>
    <n v="25"/>
    <x v="0"/>
    <n v="0"/>
    <n v="0"/>
    <x v="0"/>
    <x v="207"/>
    <x v="4"/>
    <x v="3"/>
  </r>
  <r>
    <x v="2"/>
    <x v="1"/>
    <x v="814"/>
    <x v="1"/>
    <s v="Unknown"/>
    <x v="7"/>
    <n v="0"/>
    <n v="0"/>
    <x v="0"/>
    <x v="123"/>
    <x v="5"/>
    <x v="0"/>
  </r>
  <r>
    <x v="2"/>
    <x v="1"/>
    <x v="815"/>
    <x v="1"/>
    <s v="Unknown"/>
    <x v="7"/>
    <n v="0"/>
    <n v="0"/>
    <x v="0"/>
    <x v="168"/>
    <x v="4"/>
    <x v="1"/>
  </r>
  <r>
    <x v="2"/>
    <x v="1"/>
    <x v="816"/>
    <x v="1"/>
    <n v="22"/>
    <x v="0"/>
    <n v="0"/>
    <n v="0"/>
    <x v="0"/>
    <x v="156"/>
    <x v="4"/>
    <x v="0"/>
  </r>
  <r>
    <x v="2"/>
    <x v="0"/>
    <x v="817"/>
    <x v="0"/>
    <n v="16"/>
    <x v="1"/>
    <n v="0"/>
    <n v="0"/>
    <x v="0"/>
    <x v="189"/>
    <x v="4"/>
    <x v="3"/>
  </r>
  <r>
    <x v="2"/>
    <x v="0"/>
    <x v="818"/>
    <x v="0"/>
    <s v="Unknown"/>
    <x v="7"/>
    <n v="0"/>
    <n v="0"/>
    <x v="0"/>
    <x v="179"/>
    <x v="4"/>
    <x v="3"/>
  </r>
  <r>
    <x v="2"/>
    <x v="0"/>
    <x v="819"/>
    <x v="1"/>
    <n v="9"/>
    <x v="1"/>
    <n v="0"/>
    <n v="2"/>
    <x v="3"/>
    <x v="208"/>
    <x v="5"/>
    <x v="0"/>
  </r>
  <r>
    <x v="2"/>
    <x v="1"/>
    <x v="820"/>
    <x v="1"/>
    <n v="33"/>
    <x v="4"/>
    <n v="1"/>
    <n v="1"/>
    <x v="3"/>
    <x v="208"/>
    <x v="5"/>
    <x v="0"/>
  </r>
  <r>
    <x v="2"/>
    <x v="1"/>
    <x v="821"/>
    <x v="1"/>
    <n v="41"/>
    <x v="2"/>
    <n v="0"/>
    <n v="0"/>
    <x v="0"/>
    <x v="209"/>
    <x v="4"/>
    <x v="0"/>
  </r>
  <r>
    <x v="2"/>
    <x v="0"/>
    <x v="822"/>
    <x v="0"/>
    <n v="31"/>
    <x v="4"/>
    <n v="1"/>
    <n v="1"/>
    <x v="3"/>
    <x v="208"/>
    <x v="5"/>
    <x v="0"/>
  </r>
  <r>
    <x v="2"/>
    <x v="1"/>
    <x v="823"/>
    <x v="1"/>
    <n v="38"/>
    <x v="4"/>
    <n v="0"/>
    <n v="0"/>
    <x v="0"/>
    <x v="161"/>
    <x v="4"/>
    <x v="0"/>
  </r>
  <r>
    <x v="2"/>
    <x v="1"/>
    <x v="824"/>
    <x v="1"/>
    <n v="9"/>
    <x v="1"/>
    <n v="5"/>
    <n v="2"/>
    <x v="7"/>
    <x v="210"/>
    <x v="2"/>
    <x v="0"/>
  </r>
  <r>
    <x v="2"/>
    <x v="1"/>
    <x v="825"/>
    <x v="1"/>
    <n v="1"/>
    <x v="1"/>
    <n v="5"/>
    <n v="2"/>
    <x v="7"/>
    <x v="210"/>
    <x v="2"/>
    <x v="0"/>
  </r>
  <r>
    <x v="2"/>
    <x v="1"/>
    <x v="826"/>
    <x v="1"/>
    <n v="11"/>
    <x v="1"/>
    <n v="5"/>
    <n v="2"/>
    <x v="7"/>
    <x v="210"/>
    <x v="2"/>
    <x v="0"/>
  </r>
  <r>
    <x v="2"/>
    <x v="1"/>
    <x v="827"/>
    <x v="0"/>
    <n v="10"/>
    <x v="1"/>
    <n v="5"/>
    <n v="2"/>
    <x v="7"/>
    <x v="210"/>
    <x v="2"/>
    <x v="0"/>
  </r>
  <r>
    <x v="2"/>
    <x v="1"/>
    <x v="828"/>
    <x v="0"/>
    <n v="16"/>
    <x v="1"/>
    <n v="5"/>
    <n v="2"/>
    <x v="7"/>
    <x v="210"/>
    <x v="2"/>
    <x v="0"/>
  </r>
  <r>
    <x v="2"/>
    <x v="1"/>
    <x v="829"/>
    <x v="1"/>
    <n v="14"/>
    <x v="1"/>
    <n v="5"/>
    <n v="2"/>
    <x v="7"/>
    <x v="210"/>
    <x v="2"/>
    <x v="0"/>
  </r>
  <r>
    <x v="2"/>
    <x v="1"/>
    <x v="830"/>
    <x v="1"/>
    <n v="40"/>
    <x v="4"/>
    <n v="1"/>
    <n v="6"/>
    <x v="7"/>
    <x v="210"/>
    <x v="2"/>
    <x v="0"/>
  </r>
  <r>
    <x v="2"/>
    <x v="1"/>
    <x v="831"/>
    <x v="0"/>
    <n v="43"/>
    <x v="2"/>
    <n v="1"/>
    <n v="6"/>
    <x v="7"/>
    <x v="210"/>
    <x v="2"/>
    <x v="0"/>
  </r>
  <r>
    <x v="2"/>
    <x v="1"/>
    <x v="832"/>
    <x v="1"/>
    <n v="51"/>
    <x v="5"/>
    <n v="0"/>
    <n v="0"/>
    <x v="0"/>
    <x v="156"/>
    <x v="4"/>
    <x v="0"/>
  </r>
  <r>
    <x v="2"/>
    <x v="1"/>
    <x v="833"/>
    <x v="1"/>
    <n v="32"/>
    <x v="4"/>
    <n v="0"/>
    <n v="0"/>
    <x v="0"/>
    <x v="211"/>
    <x v="4"/>
    <x v="0"/>
  </r>
  <r>
    <x v="2"/>
    <x v="1"/>
    <x v="834"/>
    <x v="1"/>
    <s v="Unknown"/>
    <x v="7"/>
    <n v="0"/>
    <n v="0"/>
    <x v="0"/>
    <x v="156"/>
    <x v="4"/>
    <x v="0"/>
  </r>
  <r>
    <x v="2"/>
    <x v="1"/>
    <x v="835"/>
    <x v="1"/>
    <n v="20"/>
    <x v="0"/>
    <n v="0"/>
    <n v="0"/>
    <x v="0"/>
    <x v="212"/>
    <x v="4"/>
    <x v="0"/>
  </r>
  <r>
    <x v="2"/>
    <x v="1"/>
    <x v="836"/>
    <x v="1"/>
    <n v="37"/>
    <x v="4"/>
    <n v="2"/>
    <n v="0"/>
    <x v="3"/>
    <x v="153"/>
    <x v="4"/>
    <x v="0"/>
  </r>
  <r>
    <x v="2"/>
    <x v="1"/>
    <x v="837"/>
    <x v="1"/>
    <n v="28"/>
    <x v="0"/>
    <n v="2"/>
    <n v="0"/>
    <x v="3"/>
    <x v="153"/>
    <x v="4"/>
    <x v="0"/>
  </r>
  <r>
    <x v="2"/>
    <x v="1"/>
    <x v="838"/>
    <x v="1"/>
    <n v="19"/>
    <x v="0"/>
    <n v="0"/>
    <n v="0"/>
    <x v="0"/>
    <x v="166"/>
    <x v="4"/>
    <x v="0"/>
  </r>
  <r>
    <x v="2"/>
    <x v="1"/>
    <x v="839"/>
    <x v="0"/>
    <n v="24"/>
    <x v="0"/>
    <n v="0"/>
    <n v="0"/>
    <x v="0"/>
    <x v="213"/>
    <x v="4"/>
    <x v="0"/>
  </r>
  <r>
    <x v="2"/>
    <x v="1"/>
    <x v="840"/>
    <x v="0"/>
    <n v="17"/>
    <x v="1"/>
    <n v="0"/>
    <n v="0"/>
    <x v="0"/>
    <x v="189"/>
    <x v="4"/>
    <x v="3"/>
  </r>
  <r>
    <x v="2"/>
    <x v="1"/>
    <x v="841"/>
    <x v="1"/>
    <s v="Unknown"/>
    <x v="7"/>
    <n v="1"/>
    <n v="0"/>
    <x v="2"/>
    <x v="214"/>
    <x v="5"/>
    <x v="0"/>
  </r>
  <r>
    <x v="2"/>
    <x v="1"/>
    <x v="842"/>
    <x v="1"/>
    <s v="Unknown"/>
    <x v="7"/>
    <n v="1"/>
    <n v="0"/>
    <x v="2"/>
    <x v="214"/>
    <x v="5"/>
    <x v="0"/>
  </r>
  <r>
    <x v="2"/>
    <x v="1"/>
    <x v="843"/>
    <x v="1"/>
    <n v="28"/>
    <x v="0"/>
    <n v="1"/>
    <n v="0"/>
    <x v="2"/>
    <x v="173"/>
    <x v="5"/>
    <x v="0"/>
  </r>
  <r>
    <x v="2"/>
    <x v="0"/>
    <x v="844"/>
    <x v="0"/>
    <n v="24"/>
    <x v="0"/>
    <n v="1"/>
    <n v="0"/>
    <x v="2"/>
    <x v="173"/>
    <x v="5"/>
    <x v="0"/>
  </r>
  <r>
    <x v="2"/>
    <x v="1"/>
    <x v="845"/>
    <x v="1"/>
    <n v="20"/>
    <x v="0"/>
    <n v="0"/>
    <n v="0"/>
    <x v="0"/>
    <x v="200"/>
    <x v="4"/>
    <x v="0"/>
  </r>
  <r>
    <x v="2"/>
    <x v="1"/>
    <x v="846"/>
    <x v="1"/>
    <n v="23.5"/>
    <x v="0"/>
    <n v="0"/>
    <n v="0"/>
    <x v="0"/>
    <x v="154"/>
    <x v="4"/>
    <x v="1"/>
  </r>
  <r>
    <x v="2"/>
    <x v="1"/>
    <x v="847"/>
    <x v="1"/>
    <n v="41"/>
    <x v="2"/>
    <n v="2"/>
    <n v="0"/>
    <x v="3"/>
    <x v="215"/>
    <x v="5"/>
    <x v="0"/>
  </r>
  <r>
    <x v="2"/>
    <x v="1"/>
    <x v="848"/>
    <x v="1"/>
    <n v="26"/>
    <x v="0"/>
    <n v="1"/>
    <n v="0"/>
    <x v="2"/>
    <x v="164"/>
    <x v="4"/>
    <x v="0"/>
  </r>
  <r>
    <x v="2"/>
    <x v="1"/>
    <x v="849"/>
    <x v="1"/>
    <n v="21"/>
    <x v="0"/>
    <n v="0"/>
    <n v="0"/>
    <x v="0"/>
    <x v="164"/>
    <x v="4"/>
    <x v="0"/>
  </r>
  <r>
    <x v="2"/>
    <x v="0"/>
    <x v="850"/>
    <x v="0"/>
    <n v="45"/>
    <x v="2"/>
    <n v="1"/>
    <n v="0"/>
    <x v="2"/>
    <x v="215"/>
    <x v="5"/>
    <x v="0"/>
  </r>
  <r>
    <x v="2"/>
    <x v="1"/>
    <x v="851"/>
    <x v="0"/>
    <s v="Unknown"/>
    <x v="7"/>
    <n v="0"/>
    <n v="0"/>
    <x v="0"/>
    <x v="150"/>
    <x v="4"/>
    <x v="0"/>
  </r>
  <r>
    <x v="2"/>
    <x v="1"/>
    <x v="852"/>
    <x v="1"/>
    <n v="25"/>
    <x v="0"/>
    <n v="0"/>
    <n v="0"/>
    <x v="0"/>
    <x v="155"/>
    <x v="4"/>
    <x v="0"/>
  </r>
  <r>
    <x v="2"/>
    <x v="1"/>
    <x v="853"/>
    <x v="1"/>
    <s v="Unknown"/>
    <x v="7"/>
    <n v="0"/>
    <n v="0"/>
    <x v="0"/>
    <x v="216"/>
    <x v="4"/>
    <x v="3"/>
  </r>
  <r>
    <x v="2"/>
    <x v="1"/>
    <x v="854"/>
    <x v="1"/>
    <n v="11"/>
    <x v="1"/>
    <n v="0"/>
    <n v="0"/>
    <x v="0"/>
    <x v="159"/>
    <x v="5"/>
    <x v="1"/>
  </r>
  <r>
    <x v="2"/>
    <x v="0"/>
    <x v="855"/>
    <x v="0"/>
    <s v="Unknown"/>
    <x v="7"/>
    <n v="0"/>
    <n v="0"/>
    <x v="0"/>
    <x v="179"/>
    <x v="4"/>
    <x v="3"/>
  </r>
  <r>
    <x v="2"/>
    <x v="0"/>
    <x v="856"/>
    <x v="1"/>
    <n v="27"/>
    <x v="0"/>
    <n v="0"/>
    <n v="0"/>
    <x v="0"/>
    <x v="204"/>
    <x v="4"/>
    <x v="0"/>
  </r>
  <r>
    <x v="2"/>
    <x v="0"/>
    <x v="857"/>
    <x v="1"/>
    <s v="Unknown"/>
    <x v="7"/>
    <n v="0"/>
    <n v="0"/>
    <x v="0"/>
    <x v="178"/>
    <x v="3"/>
    <x v="0"/>
  </r>
  <r>
    <x v="2"/>
    <x v="1"/>
    <x v="858"/>
    <x v="0"/>
    <n v="18"/>
    <x v="1"/>
    <n v="0"/>
    <n v="0"/>
    <x v="0"/>
    <x v="187"/>
    <x v="4"/>
    <x v="3"/>
  </r>
  <r>
    <x v="2"/>
    <x v="0"/>
    <x v="859"/>
    <x v="0"/>
    <n v="26"/>
    <x v="0"/>
    <n v="0"/>
    <n v="0"/>
    <x v="0"/>
    <x v="153"/>
    <x v="4"/>
    <x v="0"/>
  </r>
  <r>
    <x v="2"/>
    <x v="1"/>
    <x v="860"/>
    <x v="0"/>
    <n v="23"/>
    <x v="0"/>
    <n v="0"/>
    <n v="0"/>
    <x v="0"/>
    <x v="153"/>
    <x v="4"/>
    <x v="0"/>
  </r>
  <r>
    <x v="2"/>
    <x v="0"/>
    <x v="861"/>
    <x v="0"/>
    <n v="22"/>
    <x v="0"/>
    <n v="0"/>
    <n v="0"/>
    <x v="0"/>
    <x v="217"/>
    <x v="4"/>
    <x v="0"/>
  </r>
  <r>
    <x v="2"/>
    <x v="1"/>
    <x v="862"/>
    <x v="1"/>
    <n v="28"/>
    <x v="0"/>
    <n v="0"/>
    <n v="0"/>
    <x v="0"/>
    <x v="168"/>
    <x v="4"/>
    <x v="0"/>
  </r>
  <r>
    <x v="2"/>
    <x v="1"/>
    <x v="863"/>
    <x v="0"/>
    <n v="28"/>
    <x v="0"/>
    <n v="0"/>
    <n v="0"/>
    <x v="0"/>
    <x v="166"/>
    <x v="4"/>
    <x v="0"/>
  </r>
  <r>
    <x v="2"/>
    <x v="1"/>
    <x v="864"/>
    <x v="0"/>
    <s v="Unknown"/>
    <x v="7"/>
    <n v="0"/>
    <n v="0"/>
    <x v="0"/>
    <x v="179"/>
    <x v="4"/>
    <x v="3"/>
  </r>
  <r>
    <x v="2"/>
    <x v="0"/>
    <x v="865"/>
    <x v="0"/>
    <n v="2"/>
    <x v="1"/>
    <n v="0"/>
    <n v="1"/>
    <x v="2"/>
    <x v="218"/>
    <x v="5"/>
    <x v="0"/>
  </r>
  <r>
    <x v="2"/>
    <x v="0"/>
    <x v="866"/>
    <x v="0"/>
    <n v="22"/>
    <x v="0"/>
    <n v="1"/>
    <n v="1"/>
    <x v="3"/>
    <x v="218"/>
    <x v="5"/>
    <x v="0"/>
  </r>
  <r>
    <x v="2"/>
    <x v="1"/>
    <x v="867"/>
    <x v="1"/>
    <n v="43"/>
    <x v="2"/>
    <n v="0"/>
    <n v="0"/>
    <x v="0"/>
    <x v="219"/>
    <x v="4"/>
    <x v="0"/>
  </r>
  <r>
    <x v="2"/>
    <x v="1"/>
    <x v="868"/>
    <x v="1"/>
    <n v="28"/>
    <x v="0"/>
    <n v="0"/>
    <n v="0"/>
    <x v="0"/>
    <x v="163"/>
    <x v="5"/>
    <x v="0"/>
  </r>
  <r>
    <x v="2"/>
    <x v="0"/>
    <x v="869"/>
    <x v="0"/>
    <n v="27"/>
    <x v="0"/>
    <n v="0"/>
    <n v="0"/>
    <x v="0"/>
    <x v="153"/>
    <x v="4"/>
    <x v="0"/>
  </r>
  <r>
    <x v="2"/>
    <x v="1"/>
    <x v="870"/>
    <x v="1"/>
    <s v="Unknown"/>
    <x v="7"/>
    <n v="0"/>
    <n v="0"/>
    <x v="0"/>
    <x v="179"/>
    <x v="4"/>
    <x v="3"/>
  </r>
  <r>
    <x v="2"/>
    <x v="0"/>
    <x v="871"/>
    <x v="0"/>
    <s v="Unknown"/>
    <x v="7"/>
    <n v="0"/>
    <n v="0"/>
    <x v="0"/>
    <x v="156"/>
    <x v="4"/>
    <x v="0"/>
  </r>
  <r>
    <x v="2"/>
    <x v="1"/>
    <x v="872"/>
    <x v="1"/>
    <n v="42"/>
    <x v="2"/>
    <n v="0"/>
    <n v="0"/>
    <x v="0"/>
    <x v="152"/>
    <x v="4"/>
    <x v="0"/>
  </r>
  <r>
    <x v="2"/>
    <x v="0"/>
    <x v="873"/>
    <x v="1"/>
    <s v="Unknown"/>
    <x v="7"/>
    <n v="0"/>
    <n v="0"/>
    <x v="0"/>
    <x v="160"/>
    <x v="4"/>
    <x v="0"/>
  </r>
  <r>
    <x v="2"/>
    <x v="1"/>
    <x v="874"/>
    <x v="1"/>
    <n v="30"/>
    <x v="0"/>
    <n v="0"/>
    <n v="0"/>
    <x v="0"/>
    <x v="154"/>
    <x v="4"/>
    <x v="1"/>
  </r>
  <r>
    <x v="2"/>
    <x v="1"/>
    <x v="875"/>
    <x v="1"/>
    <s v="Unknown"/>
    <x v="7"/>
    <n v="0"/>
    <n v="0"/>
    <x v="0"/>
    <x v="168"/>
    <x v="4"/>
    <x v="0"/>
  </r>
  <r>
    <x v="2"/>
    <x v="1"/>
    <x v="876"/>
    <x v="0"/>
    <n v="27"/>
    <x v="0"/>
    <n v="1"/>
    <n v="0"/>
    <x v="2"/>
    <x v="153"/>
    <x v="4"/>
    <x v="0"/>
  </r>
  <r>
    <x v="2"/>
    <x v="1"/>
    <x v="877"/>
    <x v="0"/>
    <n v="25"/>
    <x v="0"/>
    <n v="1"/>
    <n v="0"/>
    <x v="2"/>
    <x v="153"/>
    <x v="4"/>
    <x v="0"/>
  </r>
  <r>
    <x v="2"/>
    <x v="1"/>
    <x v="878"/>
    <x v="1"/>
    <s v="Unknown"/>
    <x v="7"/>
    <n v="0"/>
    <n v="0"/>
    <x v="0"/>
    <x v="168"/>
    <x v="4"/>
    <x v="0"/>
  </r>
  <r>
    <x v="2"/>
    <x v="0"/>
    <x v="879"/>
    <x v="1"/>
    <n v="29"/>
    <x v="0"/>
    <n v="0"/>
    <n v="0"/>
    <x v="0"/>
    <x v="168"/>
    <x v="4"/>
    <x v="1"/>
  </r>
  <r>
    <x v="2"/>
    <x v="0"/>
    <x v="880"/>
    <x v="1"/>
    <n v="21"/>
    <x v="0"/>
    <n v="0"/>
    <n v="0"/>
    <x v="0"/>
    <x v="167"/>
    <x v="4"/>
    <x v="0"/>
  </r>
  <r>
    <x v="2"/>
    <x v="1"/>
    <x v="881"/>
    <x v="1"/>
    <s v="Unknown"/>
    <x v="7"/>
    <n v="0"/>
    <n v="0"/>
    <x v="0"/>
    <x v="161"/>
    <x v="4"/>
    <x v="0"/>
  </r>
  <r>
    <x v="2"/>
    <x v="1"/>
    <x v="882"/>
    <x v="1"/>
    <n v="20"/>
    <x v="0"/>
    <n v="0"/>
    <n v="0"/>
    <x v="0"/>
    <x v="164"/>
    <x v="4"/>
    <x v="0"/>
  </r>
  <r>
    <x v="2"/>
    <x v="1"/>
    <x v="883"/>
    <x v="1"/>
    <n v="48"/>
    <x v="2"/>
    <n v="0"/>
    <n v="0"/>
    <x v="0"/>
    <x v="164"/>
    <x v="4"/>
    <x v="0"/>
  </r>
  <r>
    <x v="2"/>
    <x v="1"/>
    <x v="884"/>
    <x v="1"/>
    <n v="17"/>
    <x v="1"/>
    <n v="1"/>
    <n v="0"/>
    <x v="2"/>
    <x v="220"/>
    <x v="4"/>
    <x v="0"/>
  </r>
  <r>
    <x v="2"/>
    <x v="0"/>
    <x v="885"/>
    <x v="0"/>
    <s v="Unknown"/>
    <x v="7"/>
    <n v="0"/>
    <n v="0"/>
    <x v="0"/>
    <x v="179"/>
    <x v="4"/>
    <x v="3"/>
  </r>
  <r>
    <x v="2"/>
    <x v="0"/>
    <x v="886"/>
    <x v="1"/>
    <s v="Unknown"/>
    <x v="7"/>
    <n v="0"/>
    <n v="0"/>
    <x v="0"/>
    <x v="221"/>
    <x v="4"/>
    <x v="0"/>
  </r>
  <r>
    <x v="2"/>
    <x v="1"/>
    <x v="887"/>
    <x v="1"/>
    <n v="34"/>
    <x v="4"/>
    <n v="0"/>
    <n v="0"/>
    <x v="0"/>
    <x v="222"/>
    <x v="4"/>
    <x v="0"/>
  </r>
  <r>
    <x v="2"/>
    <x v="0"/>
    <x v="888"/>
    <x v="1"/>
    <n v="26"/>
    <x v="0"/>
    <n v="0"/>
    <n v="0"/>
    <x v="0"/>
    <x v="166"/>
    <x v="4"/>
    <x v="0"/>
  </r>
  <r>
    <x v="2"/>
    <x v="1"/>
    <x v="889"/>
    <x v="1"/>
    <n v="22"/>
    <x v="0"/>
    <n v="0"/>
    <n v="0"/>
    <x v="0"/>
    <x v="167"/>
    <x v="4"/>
    <x v="0"/>
  </r>
  <r>
    <x v="2"/>
    <x v="1"/>
    <x v="890"/>
    <x v="1"/>
    <n v="33"/>
    <x v="4"/>
    <n v="0"/>
    <n v="0"/>
    <x v="0"/>
    <x v="223"/>
    <x v="4"/>
    <x v="0"/>
  </r>
  <r>
    <x v="2"/>
    <x v="1"/>
    <x v="891"/>
    <x v="1"/>
    <n v="31"/>
    <x v="4"/>
    <n v="0"/>
    <n v="0"/>
    <x v="0"/>
    <x v="166"/>
    <x v="4"/>
    <x v="0"/>
  </r>
  <r>
    <x v="2"/>
    <x v="1"/>
    <x v="892"/>
    <x v="1"/>
    <n v="29"/>
    <x v="0"/>
    <n v="0"/>
    <n v="0"/>
    <x v="0"/>
    <x v="164"/>
    <x v="4"/>
    <x v="0"/>
  </r>
  <r>
    <x v="2"/>
    <x v="0"/>
    <x v="893"/>
    <x v="1"/>
    <n v="4"/>
    <x v="1"/>
    <n v="1"/>
    <n v="1"/>
    <x v="3"/>
    <x v="224"/>
    <x v="5"/>
    <x v="0"/>
  </r>
  <r>
    <x v="2"/>
    <x v="0"/>
    <x v="894"/>
    <x v="0"/>
    <n v="1"/>
    <x v="1"/>
    <n v="1"/>
    <n v="1"/>
    <x v="3"/>
    <x v="224"/>
    <x v="5"/>
    <x v="0"/>
  </r>
  <r>
    <x v="2"/>
    <x v="1"/>
    <x v="895"/>
    <x v="1"/>
    <n v="49"/>
    <x v="2"/>
    <n v="0"/>
    <n v="0"/>
    <x v="0"/>
    <x v="4"/>
    <x v="4"/>
    <x v="0"/>
  </r>
  <r>
    <x v="2"/>
    <x v="1"/>
    <x v="896"/>
    <x v="1"/>
    <n v="33"/>
    <x v="4"/>
    <n v="0"/>
    <n v="0"/>
    <x v="0"/>
    <x v="166"/>
    <x v="4"/>
    <x v="0"/>
  </r>
  <r>
    <x v="2"/>
    <x v="1"/>
    <x v="897"/>
    <x v="1"/>
    <n v="19"/>
    <x v="0"/>
    <n v="0"/>
    <n v="0"/>
    <x v="0"/>
    <x v="4"/>
    <x v="4"/>
    <x v="0"/>
  </r>
  <r>
    <x v="2"/>
    <x v="0"/>
    <x v="898"/>
    <x v="0"/>
    <n v="27"/>
    <x v="0"/>
    <n v="0"/>
    <n v="2"/>
    <x v="3"/>
    <x v="224"/>
    <x v="5"/>
    <x v="0"/>
  </r>
  <r>
    <x v="2"/>
    <x v="1"/>
    <x v="899"/>
    <x v="1"/>
    <s v="Unknown"/>
    <x v="7"/>
    <n v="1"/>
    <n v="2"/>
    <x v="1"/>
    <x v="225"/>
    <x v="5"/>
    <x v="0"/>
  </r>
  <r>
    <x v="2"/>
    <x v="1"/>
    <x v="900"/>
    <x v="0"/>
    <s v="Unknown"/>
    <x v="7"/>
    <n v="1"/>
    <n v="2"/>
    <x v="1"/>
    <x v="225"/>
    <x v="5"/>
    <x v="0"/>
  </r>
  <r>
    <x v="2"/>
    <x v="1"/>
    <x v="901"/>
    <x v="1"/>
    <s v="Unknown"/>
    <x v="7"/>
    <n v="1"/>
    <n v="2"/>
    <x v="1"/>
    <x v="225"/>
    <x v="5"/>
    <x v="0"/>
  </r>
  <r>
    <x v="2"/>
    <x v="1"/>
    <x v="902"/>
    <x v="0"/>
    <s v="Unknown"/>
    <x v="7"/>
    <n v="1"/>
    <n v="2"/>
    <x v="1"/>
    <x v="225"/>
    <x v="5"/>
    <x v="0"/>
  </r>
  <r>
    <x v="2"/>
    <x v="1"/>
    <x v="903"/>
    <x v="1"/>
    <n v="23"/>
    <x v="0"/>
    <n v="0"/>
    <n v="0"/>
    <x v="0"/>
    <x v="168"/>
    <x v="4"/>
    <x v="0"/>
  </r>
  <r>
    <x v="2"/>
    <x v="0"/>
    <x v="904"/>
    <x v="1"/>
    <n v="32"/>
    <x v="4"/>
    <n v="0"/>
    <n v="0"/>
    <x v="0"/>
    <x v="164"/>
    <x v="4"/>
    <x v="0"/>
  </r>
  <r>
    <x v="2"/>
    <x v="1"/>
    <x v="905"/>
    <x v="1"/>
    <n v="27"/>
    <x v="0"/>
    <n v="0"/>
    <n v="0"/>
    <x v="0"/>
    <x v="164"/>
    <x v="4"/>
    <x v="0"/>
  </r>
  <r>
    <x v="2"/>
    <x v="1"/>
    <x v="906"/>
    <x v="0"/>
    <n v="20"/>
    <x v="0"/>
    <n v="1"/>
    <n v="0"/>
    <x v="2"/>
    <x v="226"/>
    <x v="4"/>
    <x v="0"/>
  </r>
  <r>
    <x v="2"/>
    <x v="1"/>
    <x v="907"/>
    <x v="0"/>
    <n v="21"/>
    <x v="0"/>
    <n v="1"/>
    <n v="0"/>
    <x v="2"/>
    <x v="226"/>
    <x v="4"/>
    <x v="0"/>
  </r>
  <r>
    <x v="2"/>
    <x v="0"/>
    <x v="908"/>
    <x v="1"/>
    <n v="32"/>
    <x v="4"/>
    <n v="0"/>
    <n v="0"/>
    <x v="0"/>
    <x v="153"/>
    <x v="4"/>
    <x v="0"/>
  </r>
  <r>
    <x v="2"/>
    <x v="1"/>
    <x v="909"/>
    <x v="1"/>
    <n v="17"/>
    <x v="1"/>
    <n v="0"/>
    <n v="0"/>
    <x v="0"/>
    <x v="227"/>
    <x v="4"/>
    <x v="0"/>
  </r>
  <r>
    <x v="2"/>
    <x v="1"/>
    <x v="910"/>
    <x v="1"/>
    <n v="21"/>
    <x v="0"/>
    <n v="0"/>
    <n v="0"/>
    <x v="0"/>
    <x v="228"/>
    <x v="4"/>
    <x v="0"/>
  </r>
  <r>
    <x v="2"/>
    <x v="1"/>
    <x v="911"/>
    <x v="1"/>
    <n v="30"/>
    <x v="0"/>
    <n v="0"/>
    <n v="0"/>
    <x v="0"/>
    <x v="168"/>
    <x v="4"/>
    <x v="0"/>
  </r>
  <r>
    <x v="2"/>
    <x v="0"/>
    <x v="912"/>
    <x v="1"/>
    <n v="21"/>
    <x v="0"/>
    <n v="0"/>
    <n v="0"/>
    <x v="0"/>
    <x v="167"/>
    <x v="4"/>
    <x v="0"/>
  </r>
  <r>
    <x v="2"/>
    <x v="1"/>
    <x v="913"/>
    <x v="1"/>
    <n v="33"/>
    <x v="4"/>
    <n v="0"/>
    <n v="0"/>
    <x v="0"/>
    <x v="164"/>
    <x v="4"/>
    <x v="0"/>
  </r>
  <r>
    <x v="2"/>
    <x v="1"/>
    <x v="914"/>
    <x v="1"/>
    <n v="22"/>
    <x v="0"/>
    <n v="0"/>
    <n v="0"/>
    <x v="0"/>
    <x v="229"/>
    <x v="4"/>
    <x v="0"/>
  </r>
  <r>
    <x v="2"/>
    <x v="0"/>
    <x v="915"/>
    <x v="0"/>
    <n v="4"/>
    <x v="1"/>
    <n v="0"/>
    <n v="1"/>
    <x v="2"/>
    <x v="230"/>
    <x v="5"/>
    <x v="1"/>
  </r>
  <r>
    <x v="2"/>
    <x v="0"/>
    <x v="916"/>
    <x v="1"/>
    <n v="39"/>
    <x v="4"/>
    <n v="0"/>
    <n v="1"/>
    <x v="2"/>
    <x v="230"/>
    <x v="5"/>
    <x v="1"/>
  </r>
  <r>
    <x v="2"/>
    <x v="1"/>
    <x v="917"/>
    <x v="1"/>
    <s v="Unknown"/>
    <x v="7"/>
    <n v="0"/>
    <n v="0"/>
    <x v="0"/>
    <x v="154"/>
    <x v="4"/>
    <x v="1"/>
  </r>
  <r>
    <x v="2"/>
    <x v="1"/>
    <x v="918"/>
    <x v="1"/>
    <n v="18.5"/>
    <x v="0"/>
    <n v="0"/>
    <n v="0"/>
    <x v="0"/>
    <x v="154"/>
    <x v="4"/>
    <x v="1"/>
  </r>
  <r>
    <x v="2"/>
    <x v="1"/>
    <x v="919"/>
    <x v="1"/>
    <s v="Unknown"/>
    <x v="7"/>
    <n v="0"/>
    <n v="0"/>
    <x v="0"/>
    <x v="179"/>
    <x v="4"/>
    <x v="3"/>
  </r>
  <r>
    <x v="2"/>
    <x v="1"/>
    <x v="920"/>
    <x v="1"/>
    <s v="Unknown"/>
    <x v="7"/>
    <n v="0"/>
    <n v="0"/>
    <x v="0"/>
    <x v="155"/>
    <x v="4"/>
    <x v="0"/>
  </r>
  <r>
    <x v="2"/>
    <x v="0"/>
    <x v="921"/>
    <x v="0"/>
    <s v="Unknown"/>
    <x v="7"/>
    <n v="0"/>
    <n v="0"/>
    <x v="0"/>
    <x v="179"/>
    <x v="4"/>
    <x v="3"/>
  </r>
  <r>
    <x v="2"/>
    <x v="0"/>
    <x v="922"/>
    <x v="0"/>
    <s v="Unknown"/>
    <x v="7"/>
    <n v="0"/>
    <n v="0"/>
    <x v="0"/>
    <x v="179"/>
    <x v="4"/>
    <x v="3"/>
  </r>
  <r>
    <x v="2"/>
    <x v="1"/>
    <x v="923"/>
    <x v="1"/>
    <n v="34.5"/>
    <x v="4"/>
    <n v="0"/>
    <n v="0"/>
    <x v="0"/>
    <x v="231"/>
    <x v="4"/>
    <x v="3"/>
  </r>
  <r>
    <x v="2"/>
    <x v="1"/>
    <x v="923"/>
    <x v="1"/>
    <n v="44"/>
    <x v="2"/>
    <n v="0"/>
    <n v="0"/>
    <x v="0"/>
    <x v="156"/>
    <x v="4"/>
    <x v="0"/>
  </r>
  <r>
    <x v="2"/>
    <x v="0"/>
    <x v="924"/>
    <x v="1"/>
    <s v="Unknown"/>
    <x v="7"/>
    <n v="0"/>
    <n v="0"/>
    <x v="0"/>
    <x v="179"/>
    <x v="4"/>
    <x v="3"/>
  </r>
  <r>
    <x v="2"/>
    <x v="1"/>
    <x v="925"/>
    <x v="1"/>
    <s v="Unknown"/>
    <x v="7"/>
    <n v="1"/>
    <n v="0"/>
    <x v="2"/>
    <x v="175"/>
    <x v="5"/>
    <x v="1"/>
  </r>
  <r>
    <x v="2"/>
    <x v="1"/>
    <x v="926"/>
    <x v="0"/>
    <s v="Unknown"/>
    <x v="7"/>
    <n v="1"/>
    <n v="0"/>
    <x v="2"/>
    <x v="175"/>
    <x v="5"/>
    <x v="1"/>
  </r>
  <r>
    <x v="2"/>
    <x v="1"/>
    <x v="927"/>
    <x v="1"/>
    <s v="Unknown"/>
    <x v="7"/>
    <n v="1"/>
    <n v="0"/>
    <x v="2"/>
    <x v="179"/>
    <x v="4"/>
    <x v="3"/>
  </r>
  <r>
    <x v="2"/>
    <x v="1"/>
    <x v="928"/>
    <x v="1"/>
    <s v="Unknown"/>
    <x v="7"/>
    <n v="1"/>
    <n v="0"/>
    <x v="2"/>
    <x v="179"/>
    <x v="4"/>
    <x v="3"/>
  </r>
  <r>
    <x v="2"/>
    <x v="1"/>
    <x v="929"/>
    <x v="1"/>
    <s v="Unknown"/>
    <x v="7"/>
    <n v="0"/>
    <n v="0"/>
    <x v="0"/>
    <x v="232"/>
    <x v="4"/>
    <x v="3"/>
  </r>
  <r>
    <x v="2"/>
    <x v="1"/>
    <x v="930"/>
    <x v="0"/>
    <n v="22"/>
    <x v="0"/>
    <n v="2"/>
    <n v="0"/>
    <x v="3"/>
    <x v="188"/>
    <x v="4"/>
    <x v="0"/>
  </r>
  <r>
    <x v="2"/>
    <x v="1"/>
    <x v="931"/>
    <x v="1"/>
    <n v="26"/>
    <x v="0"/>
    <n v="2"/>
    <n v="0"/>
    <x v="3"/>
    <x v="188"/>
    <x v="4"/>
    <x v="0"/>
  </r>
  <r>
    <x v="2"/>
    <x v="0"/>
    <x v="932"/>
    <x v="0"/>
    <n v="4"/>
    <x v="1"/>
    <n v="0"/>
    <n v="2"/>
    <x v="3"/>
    <x v="233"/>
    <x v="5"/>
    <x v="0"/>
  </r>
  <r>
    <x v="2"/>
    <x v="0"/>
    <x v="933"/>
    <x v="1"/>
    <n v="29"/>
    <x v="0"/>
    <n v="3"/>
    <n v="1"/>
    <x v="5"/>
    <x v="233"/>
    <x v="5"/>
    <x v="0"/>
  </r>
  <r>
    <x v="2"/>
    <x v="0"/>
    <x v="934"/>
    <x v="0"/>
    <n v="26"/>
    <x v="0"/>
    <n v="1"/>
    <n v="1"/>
    <x v="3"/>
    <x v="233"/>
    <x v="5"/>
    <x v="0"/>
  </r>
  <r>
    <x v="2"/>
    <x v="1"/>
    <x v="935"/>
    <x v="0"/>
    <n v="1"/>
    <x v="1"/>
    <n v="1"/>
    <n v="1"/>
    <x v="3"/>
    <x v="234"/>
    <x v="5"/>
    <x v="0"/>
  </r>
  <r>
    <x v="2"/>
    <x v="1"/>
    <x v="936"/>
    <x v="1"/>
    <n v="18"/>
    <x v="1"/>
    <n v="1"/>
    <n v="1"/>
    <x v="3"/>
    <x v="164"/>
    <x v="4"/>
    <x v="0"/>
  </r>
  <r>
    <x v="2"/>
    <x v="1"/>
    <x v="937"/>
    <x v="0"/>
    <n v="36"/>
    <x v="4"/>
    <n v="0"/>
    <n v="2"/>
    <x v="3"/>
    <x v="234"/>
    <x v="5"/>
    <x v="0"/>
  </r>
  <r>
    <x v="2"/>
    <x v="1"/>
    <x v="938"/>
    <x v="1"/>
    <s v="Unknown"/>
    <x v="7"/>
    <n v="0"/>
    <n v="0"/>
    <x v="0"/>
    <x v="168"/>
    <x v="4"/>
    <x v="1"/>
  </r>
  <r>
    <x v="2"/>
    <x v="0"/>
    <x v="939"/>
    <x v="1"/>
    <n v="25"/>
    <x v="0"/>
    <n v="0"/>
    <n v="0"/>
    <x v="0"/>
    <x v="154"/>
    <x v="4"/>
    <x v="1"/>
  </r>
  <r>
    <x v="2"/>
    <x v="1"/>
    <x v="940"/>
    <x v="1"/>
    <s v="Unknown"/>
    <x v="7"/>
    <n v="0"/>
    <n v="0"/>
    <x v="0"/>
    <x v="171"/>
    <x v="4"/>
    <x v="1"/>
  </r>
  <r>
    <x v="2"/>
    <x v="1"/>
    <x v="941"/>
    <x v="0"/>
    <n v="37"/>
    <x v="4"/>
    <n v="0"/>
    <n v="0"/>
    <x v="0"/>
    <x v="235"/>
    <x v="4"/>
    <x v="0"/>
  </r>
  <r>
    <x v="2"/>
    <x v="1"/>
    <x v="942"/>
    <x v="1"/>
    <s v="Unknown"/>
    <x v="7"/>
    <n v="0"/>
    <n v="0"/>
    <x v="0"/>
    <x v="168"/>
    <x v="4"/>
    <x v="0"/>
  </r>
  <r>
    <x v="2"/>
    <x v="0"/>
    <x v="943"/>
    <x v="1"/>
    <s v="Unknown"/>
    <x v="7"/>
    <n v="0"/>
    <n v="0"/>
    <x v="0"/>
    <x v="178"/>
    <x v="3"/>
    <x v="0"/>
  </r>
  <r>
    <x v="2"/>
    <x v="1"/>
    <x v="944"/>
    <x v="1"/>
    <s v="Unknown"/>
    <x v="7"/>
    <n v="0"/>
    <n v="0"/>
    <x v="0"/>
    <x v="178"/>
    <x v="3"/>
    <x v="0"/>
  </r>
  <r>
    <x v="2"/>
    <x v="0"/>
    <x v="945"/>
    <x v="0"/>
    <n v="22"/>
    <x v="0"/>
    <n v="0"/>
    <n v="0"/>
    <x v="0"/>
    <x v="155"/>
    <x v="4"/>
    <x v="0"/>
  </r>
  <r>
    <x v="2"/>
    <x v="1"/>
    <x v="946"/>
    <x v="1"/>
    <s v="Unknown"/>
    <x v="7"/>
    <n v="0"/>
    <n v="0"/>
    <x v="0"/>
    <x v="179"/>
    <x v="4"/>
    <x v="3"/>
  </r>
  <r>
    <x v="2"/>
    <x v="0"/>
    <x v="947"/>
    <x v="1"/>
    <n v="26"/>
    <x v="0"/>
    <n v="0"/>
    <n v="0"/>
    <x v="0"/>
    <x v="178"/>
    <x v="3"/>
    <x v="0"/>
  </r>
  <r>
    <x v="2"/>
    <x v="1"/>
    <x v="948"/>
    <x v="1"/>
    <n v="29"/>
    <x v="0"/>
    <n v="0"/>
    <n v="0"/>
    <x v="0"/>
    <x v="236"/>
    <x v="4"/>
    <x v="0"/>
  </r>
  <r>
    <x v="2"/>
    <x v="1"/>
    <x v="949"/>
    <x v="1"/>
    <n v="29"/>
    <x v="0"/>
    <n v="0"/>
    <n v="0"/>
    <x v="0"/>
    <x v="166"/>
    <x v="4"/>
    <x v="0"/>
  </r>
  <r>
    <x v="2"/>
    <x v="1"/>
    <x v="950"/>
    <x v="1"/>
    <n v="22"/>
    <x v="0"/>
    <n v="0"/>
    <n v="0"/>
    <x v="0"/>
    <x v="166"/>
    <x v="4"/>
    <x v="0"/>
  </r>
  <r>
    <x v="2"/>
    <x v="0"/>
    <x v="951"/>
    <x v="1"/>
    <n v="22"/>
    <x v="0"/>
    <n v="0"/>
    <n v="0"/>
    <x v="0"/>
    <x v="171"/>
    <x v="4"/>
    <x v="1"/>
  </r>
  <r>
    <x v="2"/>
    <x v="1"/>
    <x v="952"/>
    <x v="1"/>
    <s v="Unknown"/>
    <x v="7"/>
    <n v="3"/>
    <n v="1"/>
    <x v="5"/>
    <x v="237"/>
    <x v="5"/>
    <x v="0"/>
  </r>
  <r>
    <x v="2"/>
    <x v="1"/>
    <x v="953"/>
    <x v="0"/>
    <s v="Unknown"/>
    <x v="7"/>
    <n v="3"/>
    <n v="1"/>
    <x v="5"/>
    <x v="237"/>
    <x v="5"/>
    <x v="0"/>
  </r>
  <r>
    <x v="2"/>
    <x v="1"/>
    <x v="954"/>
    <x v="0"/>
    <s v="Unknown"/>
    <x v="7"/>
    <n v="3"/>
    <n v="1"/>
    <x v="5"/>
    <x v="237"/>
    <x v="5"/>
    <x v="0"/>
  </r>
  <r>
    <x v="2"/>
    <x v="1"/>
    <x v="955"/>
    <x v="0"/>
    <s v="Unknown"/>
    <x v="7"/>
    <n v="3"/>
    <n v="1"/>
    <x v="5"/>
    <x v="237"/>
    <x v="5"/>
    <x v="0"/>
  </r>
  <r>
    <x v="2"/>
    <x v="1"/>
    <x v="956"/>
    <x v="0"/>
    <s v="Unknown"/>
    <x v="7"/>
    <n v="0"/>
    <n v="4"/>
    <x v="5"/>
    <x v="237"/>
    <x v="5"/>
    <x v="0"/>
  </r>
  <r>
    <x v="2"/>
    <x v="1"/>
    <x v="957"/>
    <x v="1"/>
    <n v="32"/>
    <x v="4"/>
    <n v="0"/>
    <n v="0"/>
    <x v="0"/>
    <x v="153"/>
    <x v="4"/>
    <x v="0"/>
  </r>
  <r>
    <x v="2"/>
    <x v="1"/>
    <x v="958"/>
    <x v="1"/>
    <n v="34.5"/>
    <x v="4"/>
    <n v="0"/>
    <n v="0"/>
    <x v="0"/>
    <x v="238"/>
    <x v="4"/>
    <x v="1"/>
  </r>
  <r>
    <x v="2"/>
    <x v="1"/>
    <x v="959"/>
    <x v="0"/>
    <s v="Unknown"/>
    <x v="7"/>
    <n v="1"/>
    <n v="0"/>
    <x v="2"/>
    <x v="181"/>
    <x v="5"/>
    <x v="3"/>
  </r>
  <r>
    <x v="2"/>
    <x v="1"/>
    <x v="960"/>
    <x v="1"/>
    <s v="Unknown"/>
    <x v="7"/>
    <n v="1"/>
    <n v="0"/>
    <x v="2"/>
    <x v="181"/>
    <x v="5"/>
    <x v="3"/>
  </r>
  <r>
    <x v="2"/>
    <x v="1"/>
    <x v="961"/>
    <x v="1"/>
    <n v="36"/>
    <x v="4"/>
    <n v="0"/>
    <n v="0"/>
    <x v="0"/>
    <x v="4"/>
    <x v="4"/>
    <x v="0"/>
  </r>
  <r>
    <x v="2"/>
    <x v="1"/>
    <x v="962"/>
    <x v="1"/>
    <n v="39"/>
    <x v="4"/>
    <n v="0"/>
    <n v="0"/>
    <x v="0"/>
    <x v="198"/>
    <x v="5"/>
    <x v="0"/>
  </r>
  <r>
    <x v="2"/>
    <x v="1"/>
    <x v="963"/>
    <x v="1"/>
    <n v="24"/>
    <x v="0"/>
    <n v="0"/>
    <n v="0"/>
    <x v="0"/>
    <x v="200"/>
    <x v="4"/>
    <x v="0"/>
  </r>
  <r>
    <x v="2"/>
    <x v="1"/>
    <x v="964"/>
    <x v="0"/>
    <n v="25"/>
    <x v="0"/>
    <n v="0"/>
    <n v="0"/>
    <x v="0"/>
    <x v="166"/>
    <x v="4"/>
    <x v="0"/>
  </r>
  <r>
    <x v="2"/>
    <x v="1"/>
    <x v="965"/>
    <x v="0"/>
    <n v="45"/>
    <x v="2"/>
    <n v="0"/>
    <n v="0"/>
    <x v="0"/>
    <x v="179"/>
    <x v="4"/>
    <x v="0"/>
  </r>
  <r>
    <x v="2"/>
    <x v="1"/>
    <x v="966"/>
    <x v="1"/>
    <n v="36"/>
    <x v="4"/>
    <n v="1"/>
    <n v="0"/>
    <x v="2"/>
    <x v="239"/>
    <x v="5"/>
    <x v="0"/>
  </r>
  <r>
    <x v="2"/>
    <x v="1"/>
    <x v="967"/>
    <x v="0"/>
    <n v="30"/>
    <x v="0"/>
    <n v="1"/>
    <n v="0"/>
    <x v="2"/>
    <x v="239"/>
    <x v="5"/>
    <x v="0"/>
  </r>
  <r>
    <x v="2"/>
    <x v="0"/>
    <x v="968"/>
    <x v="1"/>
    <n v="20"/>
    <x v="0"/>
    <n v="1"/>
    <n v="0"/>
    <x v="2"/>
    <x v="153"/>
    <x v="4"/>
    <x v="0"/>
  </r>
  <r>
    <x v="2"/>
    <x v="1"/>
    <x v="969"/>
    <x v="1"/>
    <s v="Unknown"/>
    <x v="7"/>
    <n v="0"/>
    <n v="0"/>
    <x v="0"/>
    <x v="176"/>
    <x v="4"/>
    <x v="3"/>
  </r>
  <r>
    <x v="2"/>
    <x v="1"/>
    <x v="970"/>
    <x v="1"/>
    <n v="28"/>
    <x v="0"/>
    <n v="0"/>
    <n v="0"/>
    <x v="0"/>
    <x v="178"/>
    <x v="3"/>
    <x v="0"/>
  </r>
  <r>
    <x v="2"/>
    <x v="1"/>
    <x v="971"/>
    <x v="1"/>
    <s v="Unknown"/>
    <x v="7"/>
    <n v="0"/>
    <n v="0"/>
    <x v="0"/>
    <x v="150"/>
    <x v="4"/>
    <x v="0"/>
  </r>
  <r>
    <x v="2"/>
    <x v="1"/>
    <x v="972"/>
    <x v="1"/>
    <n v="30"/>
    <x v="0"/>
    <n v="1"/>
    <n v="0"/>
    <x v="2"/>
    <x v="182"/>
    <x v="5"/>
    <x v="0"/>
  </r>
  <r>
    <x v="2"/>
    <x v="1"/>
    <x v="973"/>
    <x v="0"/>
    <n v="26"/>
    <x v="0"/>
    <n v="1"/>
    <n v="0"/>
    <x v="2"/>
    <x v="182"/>
    <x v="5"/>
    <x v="0"/>
  </r>
  <r>
    <x v="2"/>
    <x v="1"/>
    <x v="974"/>
    <x v="1"/>
    <s v="Unknown"/>
    <x v="7"/>
    <n v="0"/>
    <n v="0"/>
    <x v="0"/>
    <x v="176"/>
    <x v="4"/>
    <x v="0"/>
  </r>
  <r>
    <x v="2"/>
    <x v="1"/>
    <x v="975"/>
    <x v="1"/>
    <n v="20.5"/>
    <x v="0"/>
    <n v="0"/>
    <n v="0"/>
    <x v="0"/>
    <x v="155"/>
    <x v="4"/>
    <x v="0"/>
  </r>
  <r>
    <x v="2"/>
    <x v="0"/>
    <x v="976"/>
    <x v="1"/>
    <n v="27"/>
    <x v="0"/>
    <n v="0"/>
    <n v="0"/>
    <x v="0"/>
    <x v="188"/>
    <x v="4"/>
    <x v="0"/>
  </r>
  <r>
    <x v="2"/>
    <x v="1"/>
    <x v="977"/>
    <x v="1"/>
    <n v="51"/>
    <x v="5"/>
    <n v="0"/>
    <n v="0"/>
    <x v="0"/>
    <x v="220"/>
    <x v="4"/>
    <x v="0"/>
  </r>
  <r>
    <x v="2"/>
    <x v="0"/>
    <x v="978"/>
    <x v="0"/>
    <n v="23"/>
    <x v="0"/>
    <n v="0"/>
    <n v="0"/>
    <x v="0"/>
    <x v="164"/>
    <x v="4"/>
    <x v="0"/>
  </r>
  <r>
    <x v="2"/>
    <x v="0"/>
    <x v="979"/>
    <x v="1"/>
    <n v="32"/>
    <x v="4"/>
    <n v="0"/>
    <n v="0"/>
    <x v="0"/>
    <x v="240"/>
    <x v="4"/>
    <x v="0"/>
  </r>
  <r>
    <x v="2"/>
    <x v="1"/>
    <x v="980"/>
    <x v="1"/>
    <s v="Unknown"/>
    <x v="7"/>
    <n v="0"/>
    <n v="0"/>
    <x v="0"/>
    <x v="168"/>
    <x v="4"/>
    <x v="0"/>
  </r>
  <r>
    <x v="2"/>
    <x v="1"/>
    <x v="981"/>
    <x v="1"/>
    <s v="Unknown"/>
    <x v="7"/>
    <n v="0"/>
    <n v="0"/>
    <x v="0"/>
    <x v="150"/>
    <x v="4"/>
    <x v="0"/>
  </r>
  <r>
    <x v="2"/>
    <x v="0"/>
    <x v="982"/>
    <x v="0"/>
    <s v="Unknown"/>
    <x v="7"/>
    <n v="0"/>
    <n v="0"/>
    <x v="0"/>
    <x v="179"/>
    <x v="4"/>
    <x v="3"/>
  </r>
  <r>
    <x v="2"/>
    <x v="0"/>
    <x v="983"/>
    <x v="1"/>
    <n v="24"/>
    <x v="0"/>
    <n v="0"/>
    <n v="0"/>
    <x v="0"/>
    <x v="241"/>
    <x v="4"/>
    <x v="0"/>
  </r>
  <r>
    <x v="2"/>
    <x v="1"/>
    <x v="984"/>
    <x v="1"/>
    <n v="22"/>
    <x v="0"/>
    <n v="0"/>
    <n v="0"/>
    <x v="0"/>
    <x v="227"/>
    <x v="4"/>
    <x v="0"/>
  </r>
  <r>
    <x v="2"/>
    <x v="1"/>
    <x v="985"/>
    <x v="0"/>
    <s v="Unknown"/>
    <x v="7"/>
    <n v="0"/>
    <n v="0"/>
    <x v="0"/>
    <x v="176"/>
    <x v="4"/>
    <x v="3"/>
  </r>
  <r>
    <x v="2"/>
    <x v="1"/>
    <x v="986"/>
    <x v="1"/>
    <s v="Unknown"/>
    <x v="7"/>
    <n v="0"/>
    <n v="0"/>
    <x v="0"/>
    <x v="179"/>
    <x v="4"/>
    <x v="3"/>
  </r>
  <r>
    <x v="2"/>
    <x v="1"/>
    <x v="987"/>
    <x v="1"/>
    <s v="Unknown"/>
    <x v="7"/>
    <n v="0"/>
    <n v="0"/>
    <x v="0"/>
    <x v="156"/>
    <x v="4"/>
    <x v="0"/>
  </r>
  <r>
    <x v="2"/>
    <x v="1"/>
    <x v="988"/>
    <x v="1"/>
    <n v="29"/>
    <x v="0"/>
    <n v="0"/>
    <n v="0"/>
    <x v="0"/>
    <x v="153"/>
    <x v="4"/>
    <x v="0"/>
  </r>
  <r>
    <x v="2"/>
    <x v="0"/>
    <x v="989"/>
    <x v="1"/>
    <s v="Unknown"/>
    <x v="7"/>
    <n v="0"/>
    <n v="0"/>
    <x v="0"/>
    <x v="154"/>
    <x v="4"/>
    <x v="1"/>
  </r>
  <r>
    <x v="2"/>
    <x v="1"/>
    <x v="990"/>
    <x v="0"/>
    <n v="30.5"/>
    <x v="0"/>
    <n v="0"/>
    <n v="0"/>
    <x v="0"/>
    <x v="179"/>
    <x v="4"/>
    <x v="3"/>
  </r>
  <r>
    <x v="2"/>
    <x v="0"/>
    <x v="991"/>
    <x v="0"/>
    <s v="Unknown"/>
    <x v="7"/>
    <n v="0"/>
    <n v="0"/>
    <x v="0"/>
    <x v="232"/>
    <x v="4"/>
    <x v="3"/>
  </r>
  <r>
    <x v="2"/>
    <x v="1"/>
    <x v="992"/>
    <x v="1"/>
    <s v="Unknown"/>
    <x v="7"/>
    <n v="0"/>
    <n v="0"/>
    <x v="0"/>
    <x v="154"/>
    <x v="4"/>
    <x v="1"/>
  </r>
  <r>
    <x v="2"/>
    <x v="1"/>
    <x v="993"/>
    <x v="1"/>
    <n v="35"/>
    <x v="4"/>
    <n v="0"/>
    <n v="0"/>
    <x v="0"/>
    <x v="168"/>
    <x v="4"/>
    <x v="1"/>
  </r>
  <r>
    <x v="2"/>
    <x v="1"/>
    <x v="994"/>
    <x v="1"/>
    <n v="33"/>
    <x v="4"/>
    <n v="0"/>
    <n v="0"/>
    <x v="0"/>
    <x v="168"/>
    <x v="4"/>
    <x v="0"/>
  </r>
  <r>
    <x v="2"/>
    <x v="0"/>
    <x v="995"/>
    <x v="0"/>
    <s v="Unknown"/>
    <x v="7"/>
    <n v="0"/>
    <n v="0"/>
    <x v="0"/>
    <x v="171"/>
    <x v="4"/>
    <x v="1"/>
  </r>
  <r>
    <x v="2"/>
    <x v="1"/>
    <x v="996"/>
    <x v="1"/>
    <s v="Unknown"/>
    <x v="7"/>
    <n v="0"/>
    <n v="0"/>
    <x v="0"/>
    <x v="168"/>
    <x v="4"/>
    <x v="1"/>
  </r>
  <r>
    <x v="2"/>
    <x v="0"/>
    <x v="997"/>
    <x v="0"/>
    <s v="Unknown"/>
    <x v="7"/>
    <n v="0"/>
    <n v="0"/>
    <x v="0"/>
    <x v="179"/>
    <x v="4"/>
    <x v="3"/>
  </r>
  <r>
    <x v="2"/>
    <x v="0"/>
    <x v="998"/>
    <x v="1"/>
    <s v="Unknown"/>
    <x v="7"/>
    <n v="0"/>
    <n v="0"/>
    <x v="0"/>
    <x v="179"/>
    <x v="4"/>
    <x v="3"/>
  </r>
  <r>
    <x v="2"/>
    <x v="0"/>
    <x v="999"/>
    <x v="0"/>
    <s v="Unknown"/>
    <x v="7"/>
    <n v="2"/>
    <n v="0"/>
    <x v="3"/>
    <x v="242"/>
    <x v="5"/>
    <x v="3"/>
  </r>
  <r>
    <x v="2"/>
    <x v="0"/>
    <x v="1000"/>
    <x v="0"/>
    <s v="Unknown"/>
    <x v="7"/>
    <n v="2"/>
    <n v="0"/>
    <x v="3"/>
    <x v="242"/>
    <x v="5"/>
    <x v="3"/>
  </r>
  <r>
    <x v="2"/>
    <x v="0"/>
    <x v="1001"/>
    <x v="1"/>
    <s v="Unknown"/>
    <x v="7"/>
    <n v="2"/>
    <n v="0"/>
    <x v="3"/>
    <x v="242"/>
    <x v="5"/>
    <x v="3"/>
  </r>
  <r>
    <x v="2"/>
    <x v="0"/>
    <x v="1002"/>
    <x v="0"/>
    <s v="Unknown"/>
    <x v="7"/>
    <n v="0"/>
    <n v="0"/>
    <x v="0"/>
    <x v="243"/>
    <x v="4"/>
    <x v="3"/>
  </r>
  <r>
    <x v="2"/>
    <x v="1"/>
    <x v="1003"/>
    <x v="1"/>
    <s v="Unknown"/>
    <x v="7"/>
    <n v="0"/>
    <n v="0"/>
    <x v="0"/>
    <x v="181"/>
    <x v="5"/>
    <x v="3"/>
  </r>
  <r>
    <x v="2"/>
    <x v="0"/>
    <x v="1004"/>
    <x v="0"/>
    <s v="Unknown"/>
    <x v="7"/>
    <n v="0"/>
    <n v="0"/>
    <x v="0"/>
    <x v="176"/>
    <x v="4"/>
    <x v="3"/>
  </r>
  <r>
    <x v="2"/>
    <x v="0"/>
    <x v="1005"/>
    <x v="0"/>
    <n v="15"/>
    <x v="1"/>
    <n v="0"/>
    <n v="0"/>
    <x v="0"/>
    <x v="244"/>
    <x v="4"/>
    <x v="3"/>
  </r>
  <r>
    <x v="2"/>
    <x v="1"/>
    <x v="1006"/>
    <x v="0"/>
    <n v="35"/>
    <x v="4"/>
    <n v="0"/>
    <n v="0"/>
    <x v="0"/>
    <x v="179"/>
    <x v="4"/>
    <x v="3"/>
  </r>
  <r>
    <x v="2"/>
    <x v="1"/>
    <x v="1007"/>
    <x v="1"/>
    <s v="Unknown"/>
    <x v="7"/>
    <n v="0"/>
    <n v="0"/>
    <x v="0"/>
    <x v="179"/>
    <x v="4"/>
    <x v="3"/>
  </r>
  <r>
    <x v="2"/>
    <x v="1"/>
    <x v="1008"/>
    <x v="1"/>
    <n v="24"/>
    <x v="0"/>
    <n v="1"/>
    <n v="0"/>
    <x v="2"/>
    <x v="182"/>
    <x v="5"/>
    <x v="0"/>
  </r>
  <r>
    <x v="2"/>
    <x v="1"/>
    <x v="1009"/>
    <x v="0"/>
    <n v="19"/>
    <x v="0"/>
    <n v="1"/>
    <n v="0"/>
    <x v="2"/>
    <x v="182"/>
    <x v="5"/>
    <x v="0"/>
  </r>
  <r>
    <x v="2"/>
    <x v="1"/>
    <x v="1010"/>
    <x v="0"/>
    <s v="Unknown"/>
    <x v="7"/>
    <n v="0"/>
    <n v="0"/>
    <x v="0"/>
    <x v="179"/>
    <x v="4"/>
    <x v="3"/>
  </r>
  <r>
    <x v="2"/>
    <x v="1"/>
    <x v="1011"/>
    <x v="0"/>
    <s v="Unknown"/>
    <x v="7"/>
    <n v="0"/>
    <n v="0"/>
    <x v="0"/>
    <x v="156"/>
    <x v="4"/>
    <x v="0"/>
  </r>
  <r>
    <x v="2"/>
    <x v="1"/>
    <x v="1012"/>
    <x v="0"/>
    <s v="Unknown"/>
    <x v="7"/>
    <n v="0"/>
    <n v="0"/>
    <x v="0"/>
    <x v="156"/>
    <x v="4"/>
    <x v="0"/>
  </r>
  <r>
    <x v="2"/>
    <x v="1"/>
    <x v="1013"/>
    <x v="1"/>
    <n v="55.5"/>
    <x v="5"/>
    <n v="0"/>
    <n v="0"/>
    <x v="0"/>
    <x v="156"/>
    <x v="4"/>
    <x v="0"/>
  </r>
  <r>
    <x v="2"/>
    <x v="1"/>
    <x v="1014"/>
    <x v="1"/>
    <s v="Unknown"/>
    <x v="7"/>
    <n v="0"/>
    <n v="0"/>
    <x v="0"/>
    <x v="179"/>
    <x v="4"/>
    <x v="3"/>
  </r>
  <r>
    <x v="2"/>
    <x v="0"/>
    <x v="1015"/>
    <x v="1"/>
    <n v="21"/>
    <x v="0"/>
    <n v="0"/>
    <n v="0"/>
    <x v="0"/>
    <x v="166"/>
    <x v="4"/>
    <x v="0"/>
  </r>
  <r>
    <x v="2"/>
    <x v="1"/>
    <x v="1016"/>
    <x v="1"/>
    <s v="Unknown"/>
    <x v="7"/>
    <n v="0"/>
    <n v="0"/>
    <x v="0"/>
    <x v="156"/>
    <x v="4"/>
    <x v="0"/>
  </r>
  <r>
    <x v="2"/>
    <x v="1"/>
    <x v="1017"/>
    <x v="1"/>
    <n v="24"/>
    <x v="0"/>
    <n v="0"/>
    <n v="0"/>
    <x v="0"/>
    <x v="168"/>
    <x v="4"/>
    <x v="0"/>
  </r>
  <r>
    <x v="2"/>
    <x v="1"/>
    <x v="1018"/>
    <x v="1"/>
    <n v="21"/>
    <x v="0"/>
    <n v="0"/>
    <n v="0"/>
    <x v="0"/>
    <x v="168"/>
    <x v="4"/>
    <x v="0"/>
  </r>
  <r>
    <x v="2"/>
    <x v="1"/>
    <x v="1019"/>
    <x v="1"/>
    <n v="28"/>
    <x v="0"/>
    <n v="0"/>
    <n v="0"/>
    <x v="0"/>
    <x v="168"/>
    <x v="4"/>
    <x v="0"/>
  </r>
  <r>
    <x v="2"/>
    <x v="1"/>
    <x v="1020"/>
    <x v="1"/>
    <s v="Unknown"/>
    <x v="7"/>
    <n v="0"/>
    <n v="0"/>
    <x v="0"/>
    <x v="168"/>
    <x v="4"/>
    <x v="0"/>
  </r>
  <r>
    <x v="2"/>
    <x v="0"/>
    <x v="1021"/>
    <x v="0"/>
    <s v="Unknown"/>
    <x v="7"/>
    <n v="0"/>
    <n v="0"/>
    <x v="0"/>
    <x v="176"/>
    <x v="4"/>
    <x v="3"/>
  </r>
  <r>
    <x v="2"/>
    <x v="1"/>
    <x v="1022"/>
    <x v="1"/>
    <n v="25"/>
    <x v="0"/>
    <n v="0"/>
    <n v="0"/>
    <x v="0"/>
    <x v="152"/>
    <x v="4"/>
    <x v="0"/>
  </r>
  <r>
    <x v="2"/>
    <x v="0"/>
    <x v="1023"/>
    <x v="1"/>
    <n v="6"/>
    <x v="1"/>
    <n v="0"/>
    <n v="1"/>
    <x v="2"/>
    <x v="202"/>
    <x v="5"/>
    <x v="0"/>
  </r>
  <r>
    <x v="2"/>
    <x v="0"/>
    <x v="1024"/>
    <x v="0"/>
    <n v="27"/>
    <x v="0"/>
    <n v="0"/>
    <n v="1"/>
    <x v="2"/>
    <x v="202"/>
    <x v="5"/>
    <x v="0"/>
  </r>
  <r>
    <x v="2"/>
    <x v="1"/>
    <x v="1025"/>
    <x v="1"/>
    <s v="Unknown"/>
    <x v="7"/>
    <n v="0"/>
    <n v="0"/>
    <x v="0"/>
    <x v="156"/>
    <x v="4"/>
    <x v="0"/>
  </r>
  <r>
    <x v="2"/>
    <x v="0"/>
    <x v="1026"/>
    <x v="0"/>
    <s v="Unknown"/>
    <x v="7"/>
    <n v="1"/>
    <n v="0"/>
    <x v="2"/>
    <x v="198"/>
    <x v="5"/>
    <x v="3"/>
  </r>
  <r>
    <x v="2"/>
    <x v="1"/>
    <x v="1027"/>
    <x v="1"/>
    <s v="Unknown"/>
    <x v="7"/>
    <n v="1"/>
    <n v="0"/>
    <x v="2"/>
    <x v="198"/>
    <x v="5"/>
    <x v="3"/>
  </r>
  <r>
    <x v="2"/>
    <x v="1"/>
    <x v="1028"/>
    <x v="1"/>
    <s v="Unknown"/>
    <x v="7"/>
    <n v="0"/>
    <n v="0"/>
    <x v="0"/>
    <x v="245"/>
    <x v="4"/>
    <x v="3"/>
  </r>
  <r>
    <x v="2"/>
    <x v="1"/>
    <x v="1029"/>
    <x v="1"/>
    <n v="34"/>
    <x v="4"/>
    <n v="0"/>
    <n v="0"/>
    <x v="0"/>
    <x v="156"/>
    <x v="4"/>
    <x v="0"/>
  </r>
  <r>
    <x v="2"/>
    <x v="1"/>
    <x v="1030"/>
    <x v="1"/>
    <s v="Unknown"/>
    <x v="7"/>
    <n v="0"/>
    <n v="0"/>
    <x v="0"/>
    <x v="179"/>
    <x v="4"/>
    <x v="3"/>
  </r>
  <r>
    <x v="2"/>
    <x v="0"/>
    <x v="1031"/>
    <x v="1"/>
    <s v="Unknown"/>
    <x v="7"/>
    <n v="0"/>
    <n v="0"/>
    <x v="0"/>
    <x v="166"/>
    <x v="4"/>
    <x v="0"/>
  </r>
  <r>
    <x v="2"/>
    <x v="0"/>
    <x v="1032"/>
    <x v="1"/>
    <s v="Unknown"/>
    <x v="7"/>
    <n v="1"/>
    <n v="1"/>
    <x v="3"/>
    <x v="180"/>
    <x v="5"/>
    <x v="1"/>
  </r>
  <r>
    <x v="2"/>
    <x v="0"/>
    <x v="1033"/>
    <x v="1"/>
    <s v="Unknown"/>
    <x v="7"/>
    <n v="1"/>
    <n v="1"/>
    <x v="3"/>
    <x v="180"/>
    <x v="5"/>
    <x v="1"/>
  </r>
  <r>
    <x v="2"/>
    <x v="0"/>
    <x v="1034"/>
    <x v="0"/>
    <s v="Unknown"/>
    <x v="7"/>
    <n v="0"/>
    <n v="2"/>
    <x v="3"/>
    <x v="180"/>
    <x v="5"/>
    <x v="1"/>
  </r>
  <r>
    <x v="2"/>
    <x v="0"/>
    <x v="1035"/>
    <x v="0"/>
    <s v="Unknown"/>
    <x v="7"/>
    <n v="0"/>
    <n v="0"/>
    <x v="0"/>
    <x v="154"/>
    <x v="4"/>
    <x v="1"/>
  </r>
  <r>
    <x v="2"/>
    <x v="1"/>
    <x v="1036"/>
    <x v="1"/>
    <s v="Unknown"/>
    <x v="7"/>
    <n v="0"/>
    <n v="0"/>
    <x v="0"/>
    <x v="156"/>
    <x v="4"/>
    <x v="0"/>
  </r>
  <r>
    <x v="2"/>
    <x v="0"/>
    <x v="1037"/>
    <x v="0"/>
    <s v="Unknown"/>
    <x v="7"/>
    <n v="0"/>
    <n v="0"/>
    <x v="0"/>
    <x v="189"/>
    <x v="4"/>
    <x v="3"/>
  </r>
  <r>
    <x v="2"/>
    <x v="0"/>
    <x v="1038"/>
    <x v="0"/>
    <n v="24"/>
    <x v="0"/>
    <n v="0"/>
    <n v="0"/>
    <x v="0"/>
    <x v="179"/>
    <x v="4"/>
    <x v="3"/>
  </r>
  <r>
    <x v="2"/>
    <x v="1"/>
    <x v="1039"/>
    <x v="1"/>
    <s v="Unknown"/>
    <x v="7"/>
    <n v="0"/>
    <n v="0"/>
    <x v="0"/>
    <x v="156"/>
    <x v="4"/>
    <x v="0"/>
  </r>
  <r>
    <x v="2"/>
    <x v="0"/>
    <x v="1040"/>
    <x v="0"/>
    <s v="Unknown"/>
    <x v="7"/>
    <n v="1"/>
    <n v="0"/>
    <x v="2"/>
    <x v="181"/>
    <x v="5"/>
    <x v="3"/>
  </r>
  <r>
    <x v="2"/>
    <x v="0"/>
    <x v="1041"/>
    <x v="0"/>
    <s v="Unknown"/>
    <x v="7"/>
    <n v="1"/>
    <n v="0"/>
    <x v="2"/>
    <x v="181"/>
    <x v="5"/>
    <x v="3"/>
  </r>
  <r>
    <x v="2"/>
    <x v="0"/>
    <x v="1042"/>
    <x v="0"/>
    <s v="Unknown"/>
    <x v="7"/>
    <n v="0"/>
    <n v="0"/>
    <x v="0"/>
    <x v="181"/>
    <x v="5"/>
    <x v="3"/>
  </r>
  <r>
    <x v="2"/>
    <x v="1"/>
    <x v="1043"/>
    <x v="1"/>
    <n v="18"/>
    <x v="1"/>
    <n v="0"/>
    <n v="0"/>
    <x v="0"/>
    <x v="179"/>
    <x v="4"/>
    <x v="0"/>
  </r>
  <r>
    <x v="2"/>
    <x v="1"/>
    <x v="1044"/>
    <x v="1"/>
    <n v="22"/>
    <x v="0"/>
    <n v="0"/>
    <n v="0"/>
    <x v="0"/>
    <x v="168"/>
    <x v="4"/>
    <x v="0"/>
  </r>
  <r>
    <x v="2"/>
    <x v="0"/>
    <x v="1045"/>
    <x v="0"/>
    <n v="15"/>
    <x v="1"/>
    <n v="0"/>
    <n v="0"/>
    <x v="0"/>
    <x v="171"/>
    <x v="4"/>
    <x v="1"/>
  </r>
  <r>
    <x v="2"/>
    <x v="0"/>
    <x v="1046"/>
    <x v="0"/>
    <n v="1"/>
    <x v="1"/>
    <n v="0"/>
    <n v="2"/>
    <x v="3"/>
    <x v="246"/>
    <x v="5"/>
    <x v="1"/>
  </r>
  <r>
    <x v="2"/>
    <x v="0"/>
    <x v="1047"/>
    <x v="1"/>
    <n v="20"/>
    <x v="0"/>
    <n v="1"/>
    <n v="1"/>
    <x v="3"/>
    <x v="246"/>
    <x v="5"/>
    <x v="1"/>
  </r>
  <r>
    <x v="2"/>
    <x v="0"/>
    <x v="1048"/>
    <x v="0"/>
    <n v="19"/>
    <x v="0"/>
    <n v="1"/>
    <n v="1"/>
    <x v="3"/>
    <x v="246"/>
    <x v="5"/>
    <x v="1"/>
  </r>
  <r>
    <x v="2"/>
    <x v="1"/>
    <x v="1049"/>
    <x v="1"/>
    <n v="33"/>
    <x v="4"/>
    <n v="0"/>
    <n v="0"/>
    <x v="0"/>
    <x v="156"/>
    <x v="4"/>
    <x v="0"/>
  </r>
  <r>
    <x v="2"/>
    <x v="1"/>
    <x v="1050"/>
    <x v="1"/>
    <s v="Unknown"/>
    <x v="7"/>
    <n v="0"/>
    <n v="0"/>
    <x v="0"/>
    <x v="168"/>
    <x v="4"/>
    <x v="0"/>
  </r>
  <r>
    <x v="2"/>
    <x v="1"/>
    <x v="1051"/>
    <x v="1"/>
    <s v="Unknown"/>
    <x v="7"/>
    <n v="0"/>
    <n v="0"/>
    <x v="0"/>
    <x v="154"/>
    <x v="4"/>
    <x v="1"/>
  </r>
  <r>
    <x v="2"/>
    <x v="1"/>
    <x v="1052"/>
    <x v="0"/>
    <s v="Unknown"/>
    <x v="7"/>
    <n v="0"/>
    <n v="0"/>
    <x v="0"/>
    <x v="179"/>
    <x v="4"/>
    <x v="3"/>
  </r>
  <r>
    <x v="2"/>
    <x v="1"/>
    <x v="1053"/>
    <x v="1"/>
    <s v="Unknown"/>
    <x v="7"/>
    <n v="0"/>
    <n v="0"/>
    <x v="0"/>
    <x v="168"/>
    <x v="4"/>
    <x v="0"/>
  </r>
  <r>
    <x v="2"/>
    <x v="0"/>
    <x v="1054"/>
    <x v="1"/>
    <n v="12"/>
    <x v="1"/>
    <n v="1"/>
    <n v="0"/>
    <x v="2"/>
    <x v="247"/>
    <x v="5"/>
    <x v="1"/>
  </r>
  <r>
    <x v="2"/>
    <x v="0"/>
    <x v="1055"/>
    <x v="0"/>
    <n v="14"/>
    <x v="1"/>
    <n v="1"/>
    <n v="0"/>
    <x v="2"/>
    <x v="247"/>
    <x v="5"/>
    <x v="1"/>
  </r>
  <r>
    <x v="2"/>
    <x v="1"/>
    <x v="1056"/>
    <x v="0"/>
    <n v="29"/>
    <x v="0"/>
    <n v="0"/>
    <n v="0"/>
    <x v="0"/>
    <x v="153"/>
    <x v="4"/>
    <x v="0"/>
  </r>
  <r>
    <x v="2"/>
    <x v="1"/>
    <x v="1057"/>
    <x v="1"/>
    <n v="28"/>
    <x v="0"/>
    <n v="0"/>
    <n v="0"/>
    <x v="0"/>
    <x v="156"/>
    <x v="4"/>
    <x v="0"/>
  </r>
  <r>
    <x v="2"/>
    <x v="0"/>
    <x v="1058"/>
    <x v="0"/>
    <n v="18"/>
    <x v="1"/>
    <n v="0"/>
    <n v="0"/>
    <x v="0"/>
    <x v="166"/>
    <x v="4"/>
    <x v="0"/>
  </r>
  <r>
    <x v="2"/>
    <x v="0"/>
    <x v="1059"/>
    <x v="0"/>
    <n v="26"/>
    <x v="0"/>
    <n v="0"/>
    <n v="0"/>
    <x v="0"/>
    <x v="164"/>
    <x v="4"/>
    <x v="0"/>
  </r>
  <r>
    <x v="2"/>
    <x v="1"/>
    <x v="1060"/>
    <x v="1"/>
    <n v="21"/>
    <x v="0"/>
    <n v="0"/>
    <n v="0"/>
    <x v="0"/>
    <x v="164"/>
    <x v="4"/>
    <x v="0"/>
  </r>
  <r>
    <x v="2"/>
    <x v="1"/>
    <x v="1061"/>
    <x v="1"/>
    <n v="41"/>
    <x v="2"/>
    <n v="0"/>
    <n v="0"/>
    <x v="0"/>
    <x v="227"/>
    <x v="4"/>
    <x v="0"/>
  </r>
  <r>
    <x v="2"/>
    <x v="0"/>
    <x v="1062"/>
    <x v="1"/>
    <n v="39"/>
    <x v="4"/>
    <n v="0"/>
    <n v="0"/>
    <x v="0"/>
    <x v="153"/>
    <x v="4"/>
    <x v="0"/>
  </r>
  <r>
    <x v="2"/>
    <x v="1"/>
    <x v="1063"/>
    <x v="1"/>
    <n v="21"/>
    <x v="0"/>
    <n v="0"/>
    <n v="0"/>
    <x v="0"/>
    <x v="248"/>
    <x v="4"/>
    <x v="0"/>
  </r>
  <r>
    <x v="2"/>
    <x v="1"/>
    <x v="1064"/>
    <x v="1"/>
    <n v="28.5"/>
    <x v="0"/>
    <n v="0"/>
    <n v="0"/>
    <x v="0"/>
    <x v="154"/>
    <x v="4"/>
    <x v="1"/>
  </r>
  <r>
    <x v="2"/>
    <x v="0"/>
    <x v="1065"/>
    <x v="0"/>
    <n v="22"/>
    <x v="0"/>
    <n v="0"/>
    <n v="0"/>
    <x v="0"/>
    <x v="179"/>
    <x v="4"/>
    <x v="0"/>
  </r>
  <r>
    <x v="2"/>
    <x v="1"/>
    <x v="1066"/>
    <x v="1"/>
    <n v="61"/>
    <x v="3"/>
    <n v="0"/>
    <n v="0"/>
    <x v="0"/>
    <x v="249"/>
    <x v="4"/>
    <x v="0"/>
  </r>
  <r>
    <x v="2"/>
    <x v="1"/>
    <x v="1067"/>
    <x v="1"/>
    <s v="Unknown"/>
    <x v="7"/>
    <n v="1"/>
    <n v="0"/>
    <x v="2"/>
    <x v="181"/>
    <x v="5"/>
    <x v="3"/>
  </r>
  <r>
    <x v="2"/>
    <x v="1"/>
    <x v="1068"/>
    <x v="1"/>
    <s v="Unknown"/>
    <x v="7"/>
    <n v="0"/>
    <n v="0"/>
    <x v="0"/>
    <x v="231"/>
    <x v="4"/>
    <x v="3"/>
  </r>
  <r>
    <x v="2"/>
    <x v="0"/>
    <x v="1069"/>
    <x v="0"/>
    <s v="Unknown"/>
    <x v="7"/>
    <n v="1"/>
    <n v="0"/>
    <x v="2"/>
    <x v="181"/>
    <x v="5"/>
    <x v="3"/>
  </r>
  <r>
    <x v="2"/>
    <x v="1"/>
    <x v="1070"/>
    <x v="1"/>
    <s v="Unknown"/>
    <x v="7"/>
    <n v="0"/>
    <n v="0"/>
    <x v="0"/>
    <x v="189"/>
    <x v="4"/>
    <x v="3"/>
  </r>
  <r>
    <x v="2"/>
    <x v="1"/>
    <x v="1071"/>
    <x v="1"/>
    <s v="Unknown"/>
    <x v="7"/>
    <n v="0"/>
    <n v="0"/>
    <x v="0"/>
    <x v="179"/>
    <x v="4"/>
    <x v="3"/>
  </r>
  <r>
    <x v="2"/>
    <x v="1"/>
    <x v="1072"/>
    <x v="1"/>
    <s v="Unknown"/>
    <x v="7"/>
    <n v="0"/>
    <n v="0"/>
    <x v="0"/>
    <x v="179"/>
    <x v="4"/>
    <x v="3"/>
  </r>
  <r>
    <x v="2"/>
    <x v="1"/>
    <x v="1073"/>
    <x v="1"/>
    <n v="23"/>
    <x v="0"/>
    <n v="0"/>
    <n v="0"/>
    <x v="0"/>
    <x v="250"/>
    <x v="4"/>
    <x v="0"/>
  </r>
  <r>
    <x v="2"/>
    <x v="1"/>
    <x v="1074"/>
    <x v="0"/>
    <s v="Unknown"/>
    <x v="7"/>
    <n v="0"/>
    <n v="0"/>
    <x v="0"/>
    <x v="179"/>
    <x v="4"/>
    <x v="3"/>
  </r>
  <r>
    <x v="2"/>
    <x v="0"/>
    <x v="1075"/>
    <x v="0"/>
    <s v="Unknown"/>
    <x v="7"/>
    <n v="0"/>
    <n v="0"/>
    <x v="0"/>
    <x v="179"/>
    <x v="4"/>
    <x v="3"/>
  </r>
  <r>
    <x v="2"/>
    <x v="0"/>
    <x v="1076"/>
    <x v="0"/>
    <s v="Unknown"/>
    <x v="7"/>
    <n v="0"/>
    <n v="0"/>
    <x v="0"/>
    <x v="176"/>
    <x v="4"/>
    <x v="3"/>
  </r>
  <r>
    <x v="2"/>
    <x v="0"/>
    <x v="1077"/>
    <x v="0"/>
    <n v="22"/>
    <x v="0"/>
    <n v="0"/>
    <n v="0"/>
    <x v="0"/>
    <x v="166"/>
    <x v="4"/>
    <x v="0"/>
  </r>
  <r>
    <x v="2"/>
    <x v="0"/>
    <x v="1078"/>
    <x v="1"/>
    <s v="Unknown"/>
    <x v="7"/>
    <n v="0"/>
    <n v="0"/>
    <x v="0"/>
    <x v="179"/>
    <x v="4"/>
    <x v="3"/>
  </r>
  <r>
    <x v="2"/>
    <x v="0"/>
    <x v="1079"/>
    <x v="0"/>
    <s v="Unknown"/>
    <x v="7"/>
    <n v="0"/>
    <n v="0"/>
    <x v="0"/>
    <x v="231"/>
    <x v="4"/>
    <x v="3"/>
  </r>
  <r>
    <x v="2"/>
    <x v="0"/>
    <x v="1080"/>
    <x v="1"/>
    <n v="9"/>
    <x v="1"/>
    <n v="0"/>
    <n v="1"/>
    <x v="2"/>
    <x v="251"/>
    <x v="4"/>
    <x v="0"/>
  </r>
  <r>
    <x v="2"/>
    <x v="1"/>
    <x v="1081"/>
    <x v="1"/>
    <n v="28"/>
    <x v="0"/>
    <n v="0"/>
    <n v="0"/>
    <x v="0"/>
    <x v="163"/>
    <x v="5"/>
    <x v="0"/>
  </r>
  <r>
    <x v="2"/>
    <x v="1"/>
    <x v="1082"/>
    <x v="1"/>
    <n v="42"/>
    <x v="2"/>
    <n v="0"/>
    <n v="1"/>
    <x v="2"/>
    <x v="252"/>
    <x v="4"/>
    <x v="0"/>
  </r>
  <r>
    <x v="2"/>
    <x v="1"/>
    <x v="1083"/>
    <x v="1"/>
    <s v="Unknown"/>
    <x v="7"/>
    <n v="0"/>
    <n v="0"/>
    <x v="0"/>
    <x v="253"/>
    <x v="4"/>
    <x v="0"/>
  </r>
  <r>
    <x v="2"/>
    <x v="1"/>
    <x v="1084"/>
    <x v="0"/>
    <n v="31"/>
    <x v="4"/>
    <n v="0"/>
    <n v="0"/>
    <x v="0"/>
    <x v="164"/>
    <x v="4"/>
    <x v="0"/>
  </r>
  <r>
    <x v="2"/>
    <x v="1"/>
    <x v="1085"/>
    <x v="1"/>
    <n v="28"/>
    <x v="0"/>
    <n v="0"/>
    <n v="0"/>
    <x v="0"/>
    <x v="164"/>
    <x v="4"/>
    <x v="0"/>
  </r>
  <r>
    <x v="2"/>
    <x v="0"/>
    <x v="1086"/>
    <x v="1"/>
    <n v="32"/>
    <x v="4"/>
    <n v="0"/>
    <n v="0"/>
    <x v="0"/>
    <x v="166"/>
    <x v="4"/>
    <x v="0"/>
  </r>
  <r>
    <x v="2"/>
    <x v="1"/>
    <x v="1087"/>
    <x v="1"/>
    <n v="20"/>
    <x v="0"/>
    <n v="0"/>
    <n v="0"/>
    <x v="0"/>
    <x v="250"/>
    <x v="4"/>
    <x v="0"/>
  </r>
  <r>
    <x v="2"/>
    <x v="1"/>
    <x v="1088"/>
    <x v="0"/>
    <n v="23"/>
    <x v="0"/>
    <n v="0"/>
    <n v="0"/>
    <x v="0"/>
    <x v="188"/>
    <x v="4"/>
    <x v="0"/>
  </r>
  <r>
    <x v="2"/>
    <x v="1"/>
    <x v="1089"/>
    <x v="0"/>
    <n v="20"/>
    <x v="0"/>
    <n v="0"/>
    <n v="0"/>
    <x v="0"/>
    <x v="188"/>
    <x v="4"/>
    <x v="0"/>
  </r>
  <r>
    <x v="2"/>
    <x v="1"/>
    <x v="1090"/>
    <x v="1"/>
    <n v="20"/>
    <x v="0"/>
    <n v="0"/>
    <n v="0"/>
    <x v="0"/>
    <x v="188"/>
    <x v="4"/>
    <x v="0"/>
  </r>
  <r>
    <x v="2"/>
    <x v="1"/>
    <x v="1091"/>
    <x v="1"/>
    <n v="16"/>
    <x v="1"/>
    <n v="0"/>
    <n v="0"/>
    <x v="0"/>
    <x v="254"/>
    <x v="4"/>
    <x v="0"/>
  </r>
  <r>
    <x v="2"/>
    <x v="0"/>
    <x v="1092"/>
    <x v="0"/>
    <n v="31"/>
    <x v="4"/>
    <n v="0"/>
    <n v="0"/>
    <x v="0"/>
    <x v="255"/>
    <x v="4"/>
    <x v="0"/>
  </r>
  <r>
    <x v="2"/>
    <x v="1"/>
    <x v="1093"/>
    <x v="0"/>
    <s v="Unknown"/>
    <x v="7"/>
    <n v="0"/>
    <n v="0"/>
    <x v="0"/>
    <x v="191"/>
    <x v="4"/>
    <x v="3"/>
  </r>
  <r>
    <x v="2"/>
    <x v="1"/>
    <x v="1094"/>
    <x v="1"/>
    <n v="2"/>
    <x v="1"/>
    <n v="3"/>
    <n v="1"/>
    <x v="5"/>
    <x v="256"/>
    <x v="5"/>
    <x v="0"/>
  </r>
  <r>
    <x v="2"/>
    <x v="1"/>
    <x v="1095"/>
    <x v="1"/>
    <n v="6"/>
    <x v="1"/>
    <n v="3"/>
    <n v="1"/>
    <x v="5"/>
    <x v="256"/>
    <x v="5"/>
    <x v="0"/>
  </r>
  <r>
    <x v="2"/>
    <x v="1"/>
    <x v="1096"/>
    <x v="0"/>
    <n v="3"/>
    <x v="1"/>
    <n v="3"/>
    <n v="1"/>
    <x v="5"/>
    <x v="256"/>
    <x v="5"/>
    <x v="0"/>
  </r>
  <r>
    <x v="2"/>
    <x v="1"/>
    <x v="1097"/>
    <x v="0"/>
    <n v="8"/>
    <x v="1"/>
    <n v="3"/>
    <n v="1"/>
    <x v="5"/>
    <x v="256"/>
    <x v="5"/>
    <x v="0"/>
  </r>
  <r>
    <x v="2"/>
    <x v="1"/>
    <x v="1098"/>
    <x v="0"/>
    <n v="29"/>
    <x v="0"/>
    <n v="0"/>
    <n v="4"/>
    <x v="5"/>
    <x v="256"/>
    <x v="5"/>
    <x v="0"/>
  </r>
  <r>
    <x v="2"/>
    <x v="1"/>
    <x v="1099"/>
    <x v="1"/>
    <n v="1"/>
    <x v="1"/>
    <n v="4"/>
    <n v="1"/>
    <x v="4"/>
    <x v="257"/>
    <x v="2"/>
    <x v="0"/>
  </r>
  <r>
    <x v="2"/>
    <x v="1"/>
    <x v="1100"/>
    <x v="1"/>
    <n v="7"/>
    <x v="1"/>
    <n v="4"/>
    <n v="1"/>
    <x v="4"/>
    <x v="257"/>
    <x v="2"/>
    <x v="0"/>
  </r>
  <r>
    <x v="2"/>
    <x v="1"/>
    <x v="1101"/>
    <x v="1"/>
    <n v="2"/>
    <x v="1"/>
    <n v="4"/>
    <n v="1"/>
    <x v="4"/>
    <x v="257"/>
    <x v="2"/>
    <x v="0"/>
  </r>
  <r>
    <x v="2"/>
    <x v="1"/>
    <x v="1102"/>
    <x v="1"/>
    <n v="16"/>
    <x v="1"/>
    <n v="4"/>
    <n v="1"/>
    <x v="4"/>
    <x v="257"/>
    <x v="2"/>
    <x v="0"/>
  </r>
  <r>
    <x v="2"/>
    <x v="1"/>
    <x v="1103"/>
    <x v="1"/>
    <n v="14"/>
    <x v="1"/>
    <n v="4"/>
    <n v="1"/>
    <x v="4"/>
    <x v="257"/>
    <x v="2"/>
    <x v="0"/>
  </r>
  <r>
    <x v="2"/>
    <x v="1"/>
    <x v="1104"/>
    <x v="0"/>
    <n v="41"/>
    <x v="2"/>
    <n v="0"/>
    <n v="5"/>
    <x v="4"/>
    <x v="257"/>
    <x v="2"/>
    <x v="0"/>
  </r>
  <r>
    <x v="2"/>
    <x v="1"/>
    <x v="1105"/>
    <x v="1"/>
    <n v="21"/>
    <x v="0"/>
    <n v="0"/>
    <n v="0"/>
    <x v="0"/>
    <x v="188"/>
    <x v="4"/>
    <x v="0"/>
  </r>
  <r>
    <x v="2"/>
    <x v="1"/>
    <x v="1106"/>
    <x v="1"/>
    <n v="19"/>
    <x v="0"/>
    <n v="0"/>
    <n v="0"/>
    <x v="0"/>
    <x v="123"/>
    <x v="5"/>
    <x v="0"/>
  </r>
  <r>
    <x v="2"/>
    <x v="1"/>
    <x v="1107"/>
    <x v="1"/>
    <s v="Unknown"/>
    <x v="7"/>
    <n v="0"/>
    <n v="0"/>
    <x v="0"/>
    <x v="258"/>
    <x v="4"/>
    <x v="1"/>
  </r>
  <r>
    <x v="2"/>
    <x v="1"/>
    <x v="1108"/>
    <x v="1"/>
    <n v="32"/>
    <x v="4"/>
    <n v="0"/>
    <n v="0"/>
    <x v="0"/>
    <x v="168"/>
    <x v="4"/>
    <x v="0"/>
  </r>
  <r>
    <x v="2"/>
    <x v="1"/>
    <x v="1109"/>
    <x v="1"/>
    <n v="0.75"/>
    <x v="1"/>
    <n v="1"/>
    <n v="1"/>
    <x v="3"/>
    <x v="259"/>
    <x v="5"/>
    <x v="0"/>
  </r>
  <r>
    <x v="2"/>
    <x v="1"/>
    <x v="1110"/>
    <x v="0"/>
    <n v="3"/>
    <x v="1"/>
    <n v="1"/>
    <n v="1"/>
    <x v="3"/>
    <x v="259"/>
    <x v="5"/>
    <x v="0"/>
  </r>
  <r>
    <x v="2"/>
    <x v="1"/>
    <x v="1111"/>
    <x v="0"/>
    <n v="26"/>
    <x v="0"/>
    <n v="0"/>
    <n v="2"/>
    <x v="3"/>
    <x v="259"/>
    <x v="5"/>
    <x v="0"/>
  </r>
  <r>
    <x v="2"/>
    <x v="1"/>
    <x v="1112"/>
    <x v="1"/>
    <s v="Unknown"/>
    <x v="7"/>
    <n v="0"/>
    <n v="0"/>
    <x v="0"/>
    <x v="260"/>
    <x v="4"/>
    <x v="0"/>
  </r>
  <r>
    <x v="2"/>
    <x v="1"/>
    <x v="1113"/>
    <x v="1"/>
    <s v="Unknown"/>
    <x v="7"/>
    <n v="0"/>
    <n v="0"/>
    <x v="0"/>
    <x v="166"/>
    <x v="4"/>
    <x v="0"/>
  </r>
  <r>
    <x v="2"/>
    <x v="1"/>
    <x v="1114"/>
    <x v="1"/>
    <s v="Unknown"/>
    <x v="7"/>
    <n v="0"/>
    <n v="0"/>
    <x v="0"/>
    <x v="156"/>
    <x v="4"/>
    <x v="0"/>
  </r>
  <r>
    <x v="2"/>
    <x v="1"/>
    <x v="1115"/>
    <x v="1"/>
    <n v="21"/>
    <x v="0"/>
    <n v="0"/>
    <n v="0"/>
    <x v="0"/>
    <x v="153"/>
    <x v="4"/>
    <x v="0"/>
  </r>
  <r>
    <x v="2"/>
    <x v="1"/>
    <x v="1116"/>
    <x v="1"/>
    <n v="25"/>
    <x v="0"/>
    <n v="0"/>
    <n v="0"/>
    <x v="0"/>
    <x v="153"/>
    <x v="4"/>
    <x v="0"/>
  </r>
  <r>
    <x v="2"/>
    <x v="1"/>
    <x v="1117"/>
    <x v="1"/>
    <n v="22"/>
    <x v="0"/>
    <n v="0"/>
    <n v="0"/>
    <x v="0"/>
    <x v="155"/>
    <x v="4"/>
    <x v="0"/>
  </r>
  <r>
    <x v="2"/>
    <x v="0"/>
    <x v="1118"/>
    <x v="1"/>
    <n v="25"/>
    <x v="0"/>
    <n v="1"/>
    <n v="0"/>
    <x v="2"/>
    <x v="166"/>
    <x v="4"/>
    <x v="0"/>
  </r>
  <r>
    <x v="2"/>
    <x v="0"/>
    <x v="1119"/>
    <x v="1"/>
    <s v="Unknown"/>
    <x v="7"/>
    <n v="1"/>
    <n v="1"/>
    <x v="3"/>
    <x v="261"/>
    <x v="5"/>
    <x v="1"/>
  </r>
  <r>
    <x v="2"/>
    <x v="0"/>
    <x v="1120"/>
    <x v="0"/>
    <s v="Unknown"/>
    <x v="7"/>
    <n v="1"/>
    <n v="1"/>
    <x v="3"/>
    <x v="261"/>
    <x v="5"/>
    <x v="1"/>
  </r>
  <r>
    <x v="2"/>
    <x v="0"/>
    <x v="1121"/>
    <x v="0"/>
    <s v="Unknown"/>
    <x v="7"/>
    <n v="0"/>
    <n v="2"/>
    <x v="3"/>
    <x v="261"/>
    <x v="5"/>
    <x v="1"/>
  </r>
  <r>
    <x v="2"/>
    <x v="1"/>
    <x v="1122"/>
    <x v="0"/>
    <s v="Unknown"/>
    <x v="7"/>
    <n v="0"/>
    <n v="0"/>
    <x v="0"/>
    <x v="262"/>
    <x v="4"/>
    <x v="3"/>
  </r>
  <r>
    <x v="2"/>
    <x v="1"/>
    <x v="1123"/>
    <x v="1"/>
    <n v="24"/>
    <x v="0"/>
    <n v="0"/>
    <n v="0"/>
    <x v="0"/>
    <x v="156"/>
    <x v="4"/>
    <x v="0"/>
  </r>
  <r>
    <x v="2"/>
    <x v="1"/>
    <x v="1124"/>
    <x v="0"/>
    <n v="28"/>
    <x v="0"/>
    <n v="0"/>
    <n v="0"/>
    <x v="0"/>
    <x v="168"/>
    <x v="4"/>
    <x v="0"/>
  </r>
  <r>
    <x v="2"/>
    <x v="1"/>
    <x v="1125"/>
    <x v="1"/>
    <n v="19"/>
    <x v="0"/>
    <n v="0"/>
    <n v="0"/>
    <x v="0"/>
    <x v="168"/>
    <x v="4"/>
    <x v="0"/>
  </r>
  <r>
    <x v="2"/>
    <x v="1"/>
    <x v="1126"/>
    <x v="1"/>
    <s v="Unknown"/>
    <x v="7"/>
    <n v="0"/>
    <n v="0"/>
    <x v="0"/>
    <x v="168"/>
    <x v="4"/>
    <x v="0"/>
  </r>
  <r>
    <x v="2"/>
    <x v="1"/>
    <x v="1127"/>
    <x v="1"/>
    <n v="25"/>
    <x v="0"/>
    <n v="1"/>
    <n v="0"/>
    <x v="2"/>
    <x v="166"/>
    <x v="4"/>
    <x v="0"/>
  </r>
  <r>
    <x v="2"/>
    <x v="1"/>
    <x v="1128"/>
    <x v="0"/>
    <n v="18"/>
    <x v="1"/>
    <n v="0"/>
    <n v="0"/>
    <x v="0"/>
    <x v="166"/>
    <x v="4"/>
    <x v="0"/>
  </r>
  <r>
    <x v="2"/>
    <x v="0"/>
    <x v="1129"/>
    <x v="1"/>
    <n v="32"/>
    <x v="4"/>
    <n v="0"/>
    <n v="0"/>
    <x v="0"/>
    <x v="156"/>
    <x v="4"/>
    <x v="0"/>
  </r>
  <r>
    <x v="2"/>
    <x v="1"/>
    <x v="1130"/>
    <x v="1"/>
    <s v="Unknown"/>
    <x v="7"/>
    <n v="0"/>
    <n v="0"/>
    <x v="0"/>
    <x v="168"/>
    <x v="4"/>
    <x v="0"/>
  </r>
  <r>
    <x v="2"/>
    <x v="1"/>
    <x v="1131"/>
    <x v="1"/>
    <n v="17"/>
    <x v="1"/>
    <n v="0"/>
    <n v="0"/>
    <x v="0"/>
    <x v="188"/>
    <x v="4"/>
    <x v="0"/>
  </r>
  <r>
    <x v="2"/>
    <x v="1"/>
    <x v="1132"/>
    <x v="1"/>
    <n v="24"/>
    <x v="0"/>
    <n v="0"/>
    <n v="0"/>
    <x v="0"/>
    <x v="188"/>
    <x v="4"/>
    <x v="0"/>
  </r>
  <r>
    <x v="2"/>
    <x v="1"/>
    <x v="1133"/>
    <x v="1"/>
    <s v="Unknown"/>
    <x v="7"/>
    <n v="0"/>
    <n v="0"/>
    <x v="0"/>
    <x v="168"/>
    <x v="4"/>
    <x v="0"/>
  </r>
  <r>
    <x v="2"/>
    <x v="1"/>
    <x v="1134"/>
    <x v="0"/>
    <s v="Unknown"/>
    <x v="7"/>
    <n v="0"/>
    <n v="0"/>
    <x v="0"/>
    <x v="221"/>
    <x v="4"/>
    <x v="0"/>
  </r>
  <r>
    <x v="2"/>
    <x v="1"/>
    <x v="1135"/>
    <x v="1"/>
    <s v="Unknown"/>
    <x v="7"/>
    <n v="0"/>
    <n v="0"/>
    <x v="0"/>
    <x v="154"/>
    <x v="4"/>
    <x v="1"/>
  </r>
  <r>
    <x v="2"/>
    <x v="1"/>
    <x v="1136"/>
    <x v="1"/>
    <s v="Unknown"/>
    <x v="7"/>
    <n v="0"/>
    <n v="0"/>
    <x v="0"/>
    <x v="155"/>
    <x v="4"/>
    <x v="0"/>
  </r>
  <r>
    <x v="2"/>
    <x v="1"/>
    <x v="1137"/>
    <x v="1"/>
    <n v="38"/>
    <x v="4"/>
    <n v="0"/>
    <n v="0"/>
    <x v="0"/>
    <x v="168"/>
    <x v="4"/>
    <x v="0"/>
  </r>
  <r>
    <x v="2"/>
    <x v="1"/>
    <x v="1138"/>
    <x v="1"/>
    <n v="21"/>
    <x v="0"/>
    <n v="0"/>
    <n v="0"/>
    <x v="0"/>
    <x v="156"/>
    <x v="4"/>
    <x v="0"/>
  </r>
  <r>
    <x v="2"/>
    <x v="1"/>
    <x v="1139"/>
    <x v="1"/>
    <n v="10"/>
    <x v="1"/>
    <n v="4"/>
    <n v="1"/>
    <x v="4"/>
    <x v="263"/>
    <x v="2"/>
    <x v="3"/>
  </r>
  <r>
    <x v="2"/>
    <x v="1"/>
    <x v="1140"/>
    <x v="1"/>
    <n v="4"/>
    <x v="1"/>
    <n v="4"/>
    <n v="1"/>
    <x v="4"/>
    <x v="263"/>
    <x v="2"/>
    <x v="3"/>
  </r>
  <r>
    <x v="2"/>
    <x v="1"/>
    <x v="1141"/>
    <x v="1"/>
    <n v="7"/>
    <x v="1"/>
    <n v="4"/>
    <n v="1"/>
    <x v="4"/>
    <x v="263"/>
    <x v="2"/>
    <x v="3"/>
  </r>
  <r>
    <x v="2"/>
    <x v="1"/>
    <x v="1142"/>
    <x v="1"/>
    <n v="2"/>
    <x v="1"/>
    <n v="4"/>
    <n v="1"/>
    <x v="4"/>
    <x v="263"/>
    <x v="2"/>
    <x v="3"/>
  </r>
  <r>
    <x v="2"/>
    <x v="1"/>
    <x v="1143"/>
    <x v="1"/>
    <n v="8"/>
    <x v="1"/>
    <n v="4"/>
    <n v="1"/>
    <x v="4"/>
    <x v="263"/>
    <x v="2"/>
    <x v="3"/>
  </r>
  <r>
    <x v="2"/>
    <x v="1"/>
    <x v="1144"/>
    <x v="0"/>
    <n v="39"/>
    <x v="4"/>
    <n v="0"/>
    <n v="5"/>
    <x v="4"/>
    <x v="263"/>
    <x v="2"/>
    <x v="3"/>
  </r>
  <r>
    <x v="2"/>
    <x v="1"/>
    <x v="1145"/>
    <x v="0"/>
    <n v="22"/>
    <x v="0"/>
    <n v="0"/>
    <n v="0"/>
    <x v="0"/>
    <x v="257"/>
    <x v="2"/>
    <x v="0"/>
  </r>
  <r>
    <x v="2"/>
    <x v="1"/>
    <x v="1146"/>
    <x v="1"/>
    <n v="35"/>
    <x v="4"/>
    <n v="0"/>
    <n v="0"/>
    <x v="0"/>
    <x v="227"/>
    <x v="4"/>
    <x v="0"/>
  </r>
  <r>
    <x v="2"/>
    <x v="0"/>
    <x v="1147"/>
    <x v="0"/>
    <s v="Unknown"/>
    <x v="7"/>
    <n v="0"/>
    <n v="0"/>
    <x v="0"/>
    <x v="264"/>
    <x v="4"/>
    <x v="3"/>
  </r>
  <r>
    <x v="2"/>
    <x v="1"/>
    <x v="1148"/>
    <x v="1"/>
    <s v="Unknown"/>
    <x v="7"/>
    <n v="0"/>
    <n v="0"/>
    <x v="0"/>
    <x v="123"/>
    <x v="5"/>
    <x v="0"/>
  </r>
  <r>
    <x v="2"/>
    <x v="1"/>
    <x v="1149"/>
    <x v="0"/>
    <s v="Unknown"/>
    <x v="7"/>
    <n v="0"/>
    <n v="0"/>
    <x v="0"/>
    <x v="123"/>
    <x v="5"/>
    <x v="0"/>
  </r>
  <r>
    <x v="2"/>
    <x v="1"/>
    <x v="1150"/>
    <x v="1"/>
    <n v="50"/>
    <x v="2"/>
    <n v="1"/>
    <n v="0"/>
    <x v="2"/>
    <x v="123"/>
    <x v="5"/>
    <x v="0"/>
  </r>
  <r>
    <x v="2"/>
    <x v="1"/>
    <x v="1151"/>
    <x v="0"/>
    <n v="47"/>
    <x v="2"/>
    <n v="1"/>
    <n v="0"/>
    <x v="2"/>
    <x v="123"/>
    <x v="5"/>
    <x v="0"/>
  </r>
  <r>
    <x v="2"/>
    <x v="1"/>
    <x v="1152"/>
    <x v="1"/>
    <s v="Unknown"/>
    <x v="7"/>
    <n v="0"/>
    <n v="0"/>
    <x v="0"/>
    <x v="156"/>
    <x v="4"/>
    <x v="0"/>
  </r>
  <r>
    <x v="2"/>
    <x v="1"/>
    <x v="1153"/>
    <x v="1"/>
    <s v="Unknown"/>
    <x v="7"/>
    <n v="0"/>
    <n v="0"/>
    <x v="0"/>
    <x v="166"/>
    <x v="4"/>
    <x v="0"/>
  </r>
  <r>
    <x v="2"/>
    <x v="1"/>
    <x v="1154"/>
    <x v="0"/>
    <n v="2"/>
    <x v="1"/>
    <n v="1"/>
    <n v="1"/>
    <x v="3"/>
    <x v="265"/>
    <x v="5"/>
    <x v="0"/>
  </r>
  <r>
    <x v="2"/>
    <x v="1"/>
    <x v="1155"/>
    <x v="1"/>
    <n v="18"/>
    <x v="1"/>
    <n v="1"/>
    <n v="1"/>
    <x v="3"/>
    <x v="265"/>
    <x v="5"/>
    <x v="0"/>
  </r>
  <r>
    <x v="2"/>
    <x v="1"/>
    <x v="1156"/>
    <x v="0"/>
    <n v="41"/>
    <x v="2"/>
    <n v="0"/>
    <n v="2"/>
    <x v="3"/>
    <x v="265"/>
    <x v="5"/>
    <x v="0"/>
  </r>
  <r>
    <x v="2"/>
    <x v="0"/>
    <x v="1157"/>
    <x v="0"/>
    <s v="Unknown"/>
    <x v="7"/>
    <n v="0"/>
    <n v="0"/>
    <x v="0"/>
    <x v="156"/>
    <x v="4"/>
    <x v="0"/>
  </r>
  <r>
    <x v="2"/>
    <x v="1"/>
    <x v="1158"/>
    <x v="1"/>
    <n v="50"/>
    <x v="2"/>
    <n v="0"/>
    <n v="0"/>
    <x v="0"/>
    <x v="156"/>
    <x v="4"/>
    <x v="0"/>
  </r>
  <r>
    <x v="2"/>
    <x v="1"/>
    <x v="1159"/>
    <x v="1"/>
    <n v="16"/>
    <x v="1"/>
    <n v="0"/>
    <n v="0"/>
    <x v="0"/>
    <x v="156"/>
    <x v="4"/>
    <x v="0"/>
  </r>
  <r>
    <x v="2"/>
    <x v="0"/>
    <x v="1160"/>
    <x v="1"/>
    <s v="Unknown"/>
    <x v="7"/>
    <n v="0"/>
    <n v="0"/>
    <x v="0"/>
    <x v="179"/>
    <x v="4"/>
    <x v="3"/>
  </r>
  <r>
    <x v="2"/>
    <x v="1"/>
    <x v="1161"/>
    <x v="1"/>
    <s v="Unknown"/>
    <x v="7"/>
    <n v="0"/>
    <n v="0"/>
    <x v="0"/>
    <x v="198"/>
    <x v="5"/>
    <x v="3"/>
  </r>
  <r>
    <x v="2"/>
    <x v="1"/>
    <x v="1162"/>
    <x v="1"/>
    <s v="Unknown"/>
    <x v="7"/>
    <n v="0"/>
    <n v="0"/>
    <x v="0"/>
    <x v="154"/>
    <x v="4"/>
    <x v="1"/>
  </r>
  <r>
    <x v="2"/>
    <x v="1"/>
    <x v="1163"/>
    <x v="1"/>
    <n v="25"/>
    <x v="0"/>
    <n v="0"/>
    <n v="0"/>
    <x v="0"/>
    <x v="171"/>
    <x v="4"/>
    <x v="1"/>
  </r>
  <r>
    <x v="2"/>
    <x v="1"/>
    <x v="1164"/>
    <x v="1"/>
    <s v="Unknown"/>
    <x v="7"/>
    <n v="0"/>
    <n v="0"/>
    <x v="0"/>
    <x v="171"/>
    <x v="4"/>
    <x v="1"/>
  </r>
  <r>
    <x v="2"/>
    <x v="1"/>
    <x v="1165"/>
    <x v="1"/>
    <s v="Unknown"/>
    <x v="7"/>
    <n v="0"/>
    <n v="0"/>
    <x v="0"/>
    <x v="266"/>
    <x v="4"/>
    <x v="3"/>
  </r>
  <r>
    <x v="2"/>
    <x v="1"/>
    <x v="1166"/>
    <x v="1"/>
    <s v="Unknown"/>
    <x v="7"/>
    <n v="0"/>
    <n v="0"/>
    <x v="0"/>
    <x v="267"/>
    <x v="4"/>
    <x v="0"/>
  </r>
  <r>
    <x v="2"/>
    <x v="1"/>
    <x v="1167"/>
    <x v="1"/>
    <n v="38.5"/>
    <x v="4"/>
    <n v="0"/>
    <n v="0"/>
    <x v="0"/>
    <x v="155"/>
    <x v="4"/>
    <x v="0"/>
  </r>
  <r>
    <x v="2"/>
    <x v="1"/>
    <x v="1168"/>
    <x v="1"/>
    <s v="Unknown"/>
    <x v="7"/>
    <n v="8"/>
    <n v="2"/>
    <x v="8"/>
    <x v="268"/>
    <x v="3"/>
    <x v="0"/>
  </r>
  <r>
    <x v="2"/>
    <x v="1"/>
    <x v="1169"/>
    <x v="1"/>
    <n v="14.5"/>
    <x v="1"/>
    <n v="8"/>
    <n v="2"/>
    <x v="8"/>
    <x v="268"/>
    <x v="3"/>
    <x v="0"/>
  </r>
  <r>
    <x v="2"/>
    <x v="1"/>
    <x v="1170"/>
    <x v="0"/>
    <s v="Unknown"/>
    <x v="7"/>
    <n v="8"/>
    <n v="2"/>
    <x v="8"/>
    <x v="268"/>
    <x v="3"/>
    <x v="0"/>
  </r>
  <r>
    <x v="2"/>
    <x v="1"/>
    <x v="1171"/>
    <x v="0"/>
    <s v="Unknown"/>
    <x v="7"/>
    <n v="8"/>
    <n v="2"/>
    <x v="8"/>
    <x v="268"/>
    <x v="3"/>
    <x v="0"/>
  </r>
  <r>
    <x v="2"/>
    <x v="1"/>
    <x v="1172"/>
    <x v="0"/>
    <s v="Unknown"/>
    <x v="7"/>
    <n v="8"/>
    <n v="2"/>
    <x v="8"/>
    <x v="268"/>
    <x v="3"/>
    <x v="0"/>
  </r>
  <r>
    <x v="2"/>
    <x v="1"/>
    <x v="1173"/>
    <x v="0"/>
    <s v="Unknown"/>
    <x v="7"/>
    <n v="8"/>
    <n v="2"/>
    <x v="8"/>
    <x v="268"/>
    <x v="3"/>
    <x v="0"/>
  </r>
  <r>
    <x v="2"/>
    <x v="1"/>
    <x v="1174"/>
    <x v="1"/>
    <s v="Unknown"/>
    <x v="7"/>
    <n v="8"/>
    <n v="2"/>
    <x v="8"/>
    <x v="268"/>
    <x v="3"/>
    <x v="0"/>
  </r>
  <r>
    <x v="2"/>
    <x v="1"/>
    <x v="1175"/>
    <x v="1"/>
    <s v="Unknown"/>
    <x v="7"/>
    <n v="8"/>
    <n v="2"/>
    <x v="8"/>
    <x v="268"/>
    <x v="3"/>
    <x v="0"/>
  </r>
  <r>
    <x v="2"/>
    <x v="1"/>
    <x v="1176"/>
    <x v="1"/>
    <s v="Unknown"/>
    <x v="7"/>
    <n v="8"/>
    <n v="2"/>
    <x v="8"/>
    <x v="268"/>
    <x v="3"/>
    <x v="0"/>
  </r>
  <r>
    <x v="2"/>
    <x v="1"/>
    <x v="1177"/>
    <x v="1"/>
    <s v="Unknown"/>
    <x v="7"/>
    <n v="1"/>
    <n v="9"/>
    <x v="8"/>
    <x v="268"/>
    <x v="3"/>
    <x v="0"/>
  </r>
  <r>
    <x v="2"/>
    <x v="1"/>
    <x v="1178"/>
    <x v="0"/>
    <s v="Unknown"/>
    <x v="7"/>
    <n v="1"/>
    <n v="9"/>
    <x v="8"/>
    <x v="268"/>
    <x v="3"/>
    <x v="0"/>
  </r>
  <r>
    <x v="2"/>
    <x v="1"/>
    <x v="1179"/>
    <x v="1"/>
    <n v="24"/>
    <x v="0"/>
    <n v="0"/>
    <n v="0"/>
    <x v="0"/>
    <x v="269"/>
    <x v="4"/>
    <x v="0"/>
  </r>
  <r>
    <x v="2"/>
    <x v="0"/>
    <x v="1180"/>
    <x v="0"/>
    <n v="21"/>
    <x v="0"/>
    <n v="0"/>
    <n v="0"/>
    <x v="0"/>
    <x v="152"/>
    <x v="4"/>
    <x v="0"/>
  </r>
  <r>
    <x v="2"/>
    <x v="1"/>
    <x v="1181"/>
    <x v="1"/>
    <n v="39"/>
    <x v="4"/>
    <n v="0"/>
    <n v="0"/>
    <x v="0"/>
    <x v="153"/>
    <x v="4"/>
    <x v="0"/>
  </r>
  <r>
    <x v="2"/>
    <x v="1"/>
    <x v="1182"/>
    <x v="1"/>
    <s v="Unknown"/>
    <x v="7"/>
    <n v="2"/>
    <n v="0"/>
    <x v="3"/>
    <x v="270"/>
    <x v="5"/>
    <x v="1"/>
  </r>
  <r>
    <x v="2"/>
    <x v="1"/>
    <x v="1183"/>
    <x v="1"/>
    <s v="Unknown"/>
    <x v="7"/>
    <n v="2"/>
    <n v="0"/>
    <x v="3"/>
    <x v="270"/>
    <x v="5"/>
    <x v="1"/>
  </r>
  <r>
    <x v="2"/>
    <x v="1"/>
    <x v="1184"/>
    <x v="1"/>
    <s v="Unknown"/>
    <x v="7"/>
    <n v="2"/>
    <n v="0"/>
    <x v="3"/>
    <x v="270"/>
    <x v="5"/>
    <x v="1"/>
  </r>
  <r>
    <x v="2"/>
    <x v="0"/>
    <x v="1185"/>
    <x v="0"/>
    <n v="1"/>
    <x v="1"/>
    <n v="1"/>
    <n v="1"/>
    <x v="3"/>
    <x v="271"/>
    <x v="5"/>
    <x v="0"/>
  </r>
  <r>
    <x v="2"/>
    <x v="0"/>
    <x v="1186"/>
    <x v="0"/>
    <n v="24"/>
    <x v="0"/>
    <n v="0"/>
    <n v="2"/>
    <x v="3"/>
    <x v="271"/>
    <x v="5"/>
    <x v="0"/>
  </r>
  <r>
    <x v="2"/>
    <x v="0"/>
    <x v="1187"/>
    <x v="0"/>
    <n v="4"/>
    <x v="1"/>
    <n v="1"/>
    <n v="1"/>
    <x v="3"/>
    <x v="271"/>
    <x v="5"/>
    <x v="0"/>
  </r>
  <r>
    <x v="2"/>
    <x v="0"/>
    <x v="1188"/>
    <x v="1"/>
    <n v="25"/>
    <x v="0"/>
    <n v="0"/>
    <n v="0"/>
    <x v="0"/>
    <x v="200"/>
    <x v="4"/>
    <x v="0"/>
  </r>
  <r>
    <x v="2"/>
    <x v="1"/>
    <x v="1189"/>
    <x v="1"/>
    <n v="20"/>
    <x v="0"/>
    <n v="0"/>
    <n v="0"/>
    <x v="0"/>
    <x v="156"/>
    <x v="4"/>
    <x v="0"/>
  </r>
  <r>
    <x v="2"/>
    <x v="1"/>
    <x v="1190"/>
    <x v="1"/>
    <n v="24.5"/>
    <x v="0"/>
    <n v="0"/>
    <n v="0"/>
    <x v="0"/>
    <x v="156"/>
    <x v="4"/>
    <x v="0"/>
  </r>
  <r>
    <x v="2"/>
    <x v="1"/>
    <x v="1191"/>
    <x v="1"/>
    <s v="Unknown"/>
    <x v="7"/>
    <n v="0"/>
    <n v="0"/>
    <x v="0"/>
    <x v="183"/>
    <x v="4"/>
    <x v="3"/>
  </r>
  <r>
    <x v="2"/>
    <x v="1"/>
    <x v="1192"/>
    <x v="1"/>
    <s v="Unknown"/>
    <x v="7"/>
    <n v="0"/>
    <n v="0"/>
    <x v="0"/>
    <x v="168"/>
    <x v="4"/>
    <x v="0"/>
  </r>
  <r>
    <x v="2"/>
    <x v="1"/>
    <x v="1193"/>
    <x v="1"/>
    <s v="Unknown"/>
    <x v="7"/>
    <n v="0"/>
    <n v="0"/>
    <x v="0"/>
    <x v="179"/>
    <x v="4"/>
    <x v="3"/>
  </r>
  <r>
    <x v="2"/>
    <x v="0"/>
    <x v="1194"/>
    <x v="1"/>
    <n v="29"/>
    <x v="0"/>
    <n v="0"/>
    <n v="0"/>
    <x v="0"/>
    <x v="200"/>
    <x v="4"/>
    <x v="0"/>
  </r>
  <r>
    <x v="2"/>
    <x v="1"/>
    <x v="1195"/>
    <x v="1"/>
    <s v="Unknown"/>
    <x v="7"/>
    <n v="0"/>
    <n v="0"/>
    <x v="0"/>
    <x v="205"/>
    <x v="5"/>
    <x v="0"/>
  </r>
  <r>
    <x v="2"/>
    <x v="0"/>
    <x v="1196"/>
    <x v="0"/>
    <s v="Unknown"/>
    <x v="7"/>
    <n v="0"/>
    <n v="0"/>
    <x v="0"/>
    <x v="272"/>
    <x v="4"/>
    <x v="3"/>
  </r>
  <r>
    <x v="2"/>
    <x v="1"/>
    <x v="1197"/>
    <x v="1"/>
    <s v="Unknown"/>
    <x v="7"/>
    <n v="0"/>
    <n v="0"/>
    <x v="0"/>
    <x v="156"/>
    <x v="4"/>
    <x v="0"/>
  </r>
  <r>
    <x v="2"/>
    <x v="1"/>
    <x v="1198"/>
    <x v="1"/>
    <s v="Unknown"/>
    <x v="7"/>
    <n v="0"/>
    <n v="0"/>
    <x v="0"/>
    <x v="156"/>
    <x v="4"/>
    <x v="0"/>
  </r>
  <r>
    <x v="2"/>
    <x v="1"/>
    <x v="1199"/>
    <x v="1"/>
    <n v="22"/>
    <x v="0"/>
    <n v="0"/>
    <n v="0"/>
    <x v="0"/>
    <x v="154"/>
    <x v="4"/>
    <x v="1"/>
  </r>
  <r>
    <x v="2"/>
    <x v="1"/>
    <x v="1200"/>
    <x v="1"/>
    <s v="Unknown"/>
    <x v="7"/>
    <n v="0"/>
    <n v="0"/>
    <x v="0"/>
    <x v="156"/>
    <x v="4"/>
    <x v="0"/>
  </r>
  <r>
    <x v="2"/>
    <x v="1"/>
    <x v="1201"/>
    <x v="1"/>
    <n v="40"/>
    <x v="4"/>
    <n v="0"/>
    <n v="0"/>
    <x v="0"/>
    <x v="168"/>
    <x v="4"/>
    <x v="0"/>
  </r>
  <r>
    <x v="2"/>
    <x v="1"/>
    <x v="1202"/>
    <x v="1"/>
    <n v="21"/>
    <x v="0"/>
    <n v="0"/>
    <n v="0"/>
    <x v="0"/>
    <x v="153"/>
    <x v="4"/>
    <x v="0"/>
  </r>
  <r>
    <x v="2"/>
    <x v="0"/>
    <x v="1203"/>
    <x v="0"/>
    <n v="18"/>
    <x v="1"/>
    <n v="0"/>
    <n v="0"/>
    <x v="0"/>
    <x v="190"/>
    <x v="4"/>
    <x v="0"/>
  </r>
  <r>
    <x v="2"/>
    <x v="1"/>
    <x v="1204"/>
    <x v="1"/>
    <n v="4"/>
    <x v="1"/>
    <n v="3"/>
    <n v="2"/>
    <x v="4"/>
    <x v="273"/>
    <x v="2"/>
    <x v="0"/>
  </r>
  <r>
    <x v="2"/>
    <x v="1"/>
    <x v="1205"/>
    <x v="1"/>
    <n v="10"/>
    <x v="1"/>
    <n v="3"/>
    <n v="2"/>
    <x v="4"/>
    <x v="273"/>
    <x v="2"/>
    <x v="0"/>
  </r>
  <r>
    <x v="2"/>
    <x v="1"/>
    <x v="1206"/>
    <x v="0"/>
    <n v="9"/>
    <x v="1"/>
    <n v="3"/>
    <n v="2"/>
    <x v="4"/>
    <x v="273"/>
    <x v="2"/>
    <x v="0"/>
  </r>
  <r>
    <x v="2"/>
    <x v="1"/>
    <x v="1207"/>
    <x v="0"/>
    <n v="2"/>
    <x v="1"/>
    <n v="3"/>
    <n v="2"/>
    <x v="4"/>
    <x v="273"/>
    <x v="2"/>
    <x v="0"/>
  </r>
  <r>
    <x v="2"/>
    <x v="1"/>
    <x v="1208"/>
    <x v="1"/>
    <n v="40"/>
    <x v="4"/>
    <n v="1"/>
    <n v="4"/>
    <x v="4"/>
    <x v="273"/>
    <x v="2"/>
    <x v="0"/>
  </r>
  <r>
    <x v="2"/>
    <x v="1"/>
    <x v="1209"/>
    <x v="0"/>
    <n v="45"/>
    <x v="2"/>
    <n v="1"/>
    <n v="4"/>
    <x v="4"/>
    <x v="273"/>
    <x v="2"/>
    <x v="0"/>
  </r>
  <r>
    <x v="2"/>
    <x v="1"/>
    <x v="1210"/>
    <x v="1"/>
    <s v="Unknown"/>
    <x v="7"/>
    <n v="0"/>
    <n v="0"/>
    <x v="0"/>
    <x v="168"/>
    <x v="4"/>
    <x v="0"/>
  </r>
  <r>
    <x v="2"/>
    <x v="1"/>
    <x v="1211"/>
    <x v="1"/>
    <s v="Unknown"/>
    <x v="7"/>
    <n v="0"/>
    <n v="0"/>
    <x v="0"/>
    <x v="156"/>
    <x v="4"/>
    <x v="0"/>
  </r>
  <r>
    <x v="2"/>
    <x v="1"/>
    <x v="1212"/>
    <x v="1"/>
    <s v="Unknown"/>
    <x v="7"/>
    <n v="0"/>
    <n v="0"/>
    <x v="0"/>
    <x v="188"/>
    <x v="4"/>
    <x v="0"/>
  </r>
  <r>
    <x v="2"/>
    <x v="1"/>
    <x v="1213"/>
    <x v="1"/>
    <s v="Unknown"/>
    <x v="7"/>
    <n v="0"/>
    <n v="0"/>
    <x v="0"/>
    <x v="179"/>
    <x v="4"/>
    <x v="3"/>
  </r>
  <r>
    <x v="2"/>
    <x v="0"/>
    <x v="1214"/>
    <x v="0"/>
    <s v="Unknown"/>
    <x v="7"/>
    <n v="0"/>
    <n v="0"/>
    <x v="0"/>
    <x v="189"/>
    <x v="4"/>
    <x v="3"/>
  </r>
  <r>
    <x v="2"/>
    <x v="1"/>
    <x v="1215"/>
    <x v="1"/>
    <n v="19"/>
    <x v="0"/>
    <n v="0"/>
    <n v="0"/>
    <x v="0"/>
    <x v="152"/>
    <x v="4"/>
    <x v="0"/>
  </r>
  <r>
    <x v="2"/>
    <x v="1"/>
    <x v="1216"/>
    <x v="1"/>
    <n v="30"/>
    <x v="0"/>
    <n v="0"/>
    <n v="0"/>
    <x v="0"/>
    <x v="156"/>
    <x v="4"/>
    <x v="0"/>
  </r>
  <r>
    <x v="2"/>
    <x v="1"/>
    <x v="1217"/>
    <x v="1"/>
    <s v="Unknown"/>
    <x v="7"/>
    <n v="0"/>
    <n v="0"/>
    <x v="0"/>
    <x v="156"/>
    <x v="4"/>
    <x v="0"/>
  </r>
  <r>
    <x v="2"/>
    <x v="1"/>
    <x v="1218"/>
    <x v="1"/>
    <n v="32"/>
    <x v="4"/>
    <n v="0"/>
    <n v="0"/>
    <x v="0"/>
    <x v="156"/>
    <x v="4"/>
    <x v="0"/>
  </r>
  <r>
    <x v="2"/>
    <x v="1"/>
    <x v="1219"/>
    <x v="1"/>
    <s v="Unknown"/>
    <x v="7"/>
    <n v="0"/>
    <n v="0"/>
    <x v="0"/>
    <x v="168"/>
    <x v="4"/>
    <x v="0"/>
  </r>
  <r>
    <x v="2"/>
    <x v="1"/>
    <x v="1220"/>
    <x v="1"/>
    <n v="33"/>
    <x v="4"/>
    <n v="0"/>
    <n v="0"/>
    <x v="0"/>
    <x v="188"/>
    <x v="4"/>
    <x v="1"/>
  </r>
  <r>
    <x v="2"/>
    <x v="0"/>
    <x v="1221"/>
    <x v="0"/>
    <n v="23"/>
    <x v="0"/>
    <n v="0"/>
    <n v="0"/>
    <x v="0"/>
    <x v="150"/>
    <x v="4"/>
    <x v="0"/>
  </r>
  <r>
    <x v="2"/>
    <x v="1"/>
    <x v="1222"/>
    <x v="1"/>
    <n v="21"/>
    <x v="0"/>
    <n v="0"/>
    <n v="0"/>
    <x v="0"/>
    <x v="156"/>
    <x v="4"/>
    <x v="0"/>
  </r>
  <r>
    <x v="2"/>
    <x v="1"/>
    <x v="1223"/>
    <x v="1"/>
    <n v="60.5"/>
    <x v="5"/>
    <n v="0"/>
    <n v="0"/>
    <x v="0"/>
    <x v="274"/>
    <x v="4"/>
    <x v="0"/>
  </r>
  <r>
    <x v="2"/>
    <x v="1"/>
    <x v="1224"/>
    <x v="1"/>
    <n v="19"/>
    <x v="0"/>
    <n v="0"/>
    <n v="0"/>
    <x v="0"/>
    <x v="168"/>
    <x v="4"/>
    <x v="0"/>
  </r>
  <r>
    <x v="2"/>
    <x v="1"/>
    <x v="1225"/>
    <x v="0"/>
    <n v="22"/>
    <x v="0"/>
    <n v="0"/>
    <n v="0"/>
    <x v="0"/>
    <x v="275"/>
    <x v="4"/>
    <x v="0"/>
  </r>
  <r>
    <x v="2"/>
    <x v="0"/>
    <x v="1226"/>
    <x v="1"/>
    <n v="31"/>
    <x v="4"/>
    <n v="0"/>
    <n v="0"/>
    <x v="0"/>
    <x v="153"/>
    <x v="4"/>
    <x v="0"/>
  </r>
  <r>
    <x v="2"/>
    <x v="1"/>
    <x v="1227"/>
    <x v="1"/>
    <n v="27"/>
    <x v="0"/>
    <n v="0"/>
    <n v="0"/>
    <x v="0"/>
    <x v="188"/>
    <x v="4"/>
    <x v="0"/>
  </r>
  <r>
    <x v="2"/>
    <x v="1"/>
    <x v="1228"/>
    <x v="0"/>
    <n v="2"/>
    <x v="1"/>
    <n v="0"/>
    <n v="1"/>
    <x v="2"/>
    <x v="276"/>
    <x v="5"/>
    <x v="0"/>
  </r>
  <r>
    <x v="2"/>
    <x v="1"/>
    <x v="1229"/>
    <x v="0"/>
    <n v="29"/>
    <x v="0"/>
    <n v="1"/>
    <n v="1"/>
    <x v="3"/>
    <x v="276"/>
    <x v="5"/>
    <x v="0"/>
  </r>
  <r>
    <x v="2"/>
    <x v="0"/>
    <x v="1230"/>
    <x v="1"/>
    <n v="16"/>
    <x v="1"/>
    <n v="0"/>
    <n v="0"/>
    <x v="0"/>
    <x v="156"/>
    <x v="4"/>
    <x v="0"/>
  </r>
  <r>
    <x v="2"/>
    <x v="0"/>
    <x v="1231"/>
    <x v="1"/>
    <n v="44"/>
    <x v="2"/>
    <n v="0"/>
    <n v="0"/>
    <x v="0"/>
    <x v="153"/>
    <x v="4"/>
    <x v="0"/>
  </r>
  <r>
    <x v="2"/>
    <x v="1"/>
    <x v="1232"/>
    <x v="1"/>
    <n v="25"/>
    <x v="0"/>
    <n v="0"/>
    <n v="0"/>
    <x v="0"/>
    <x v="161"/>
    <x v="4"/>
    <x v="0"/>
  </r>
  <r>
    <x v="2"/>
    <x v="1"/>
    <x v="1233"/>
    <x v="1"/>
    <n v="74"/>
    <x v="6"/>
    <n v="0"/>
    <n v="0"/>
    <x v="0"/>
    <x v="166"/>
    <x v="4"/>
    <x v="0"/>
  </r>
  <r>
    <x v="2"/>
    <x v="0"/>
    <x v="1234"/>
    <x v="1"/>
    <n v="14"/>
    <x v="1"/>
    <n v="0"/>
    <n v="0"/>
    <x v="0"/>
    <x v="250"/>
    <x v="4"/>
    <x v="0"/>
  </r>
  <r>
    <x v="2"/>
    <x v="1"/>
    <x v="1235"/>
    <x v="1"/>
    <n v="24"/>
    <x v="0"/>
    <n v="0"/>
    <n v="0"/>
    <x v="0"/>
    <x v="167"/>
    <x v="4"/>
    <x v="0"/>
  </r>
  <r>
    <x v="2"/>
    <x v="0"/>
    <x v="1236"/>
    <x v="1"/>
    <n v="25"/>
    <x v="0"/>
    <n v="0"/>
    <n v="0"/>
    <x v="0"/>
    <x v="167"/>
    <x v="4"/>
    <x v="0"/>
  </r>
  <r>
    <x v="2"/>
    <x v="1"/>
    <x v="1237"/>
    <x v="1"/>
    <n v="34"/>
    <x v="4"/>
    <n v="0"/>
    <n v="0"/>
    <x v="0"/>
    <x v="156"/>
    <x v="4"/>
    <x v="0"/>
  </r>
  <r>
    <x v="2"/>
    <x v="0"/>
    <x v="1238"/>
    <x v="1"/>
    <n v="0.41670000000000001"/>
    <x v="1"/>
    <n v="0"/>
    <n v="1"/>
    <x v="2"/>
    <x v="277"/>
    <x v="4"/>
    <x v="1"/>
  </r>
  <r>
    <x v="2"/>
    <x v="1"/>
    <x v="1239"/>
    <x v="1"/>
    <s v="Unknown"/>
    <x v="7"/>
    <n v="1"/>
    <n v="0"/>
    <x v="2"/>
    <x v="238"/>
    <x v="4"/>
    <x v="1"/>
  </r>
  <r>
    <x v="2"/>
    <x v="1"/>
    <x v="1240"/>
    <x v="1"/>
    <s v="Unknown"/>
    <x v="7"/>
    <n v="0"/>
    <n v="0"/>
    <x v="0"/>
    <x v="238"/>
    <x v="4"/>
    <x v="1"/>
  </r>
  <r>
    <x v="2"/>
    <x v="1"/>
    <x v="1241"/>
    <x v="1"/>
    <s v="Unknown"/>
    <x v="7"/>
    <n v="0"/>
    <n v="0"/>
    <x v="0"/>
    <x v="171"/>
    <x v="4"/>
    <x v="1"/>
  </r>
  <r>
    <x v="2"/>
    <x v="0"/>
    <x v="1242"/>
    <x v="0"/>
    <n v="16"/>
    <x v="1"/>
    <n v="1"/>
    <n v="1"/>
    <x v="3"/>
    <x v="277"/>
    <x v="4"/>
    <x v="1"/>
  </r>
  <r>
    <x v="2"/>
    <x v="1"/>
    <x v="1243"/>
    <x v="1"/>
    <s v="Unknown"/>
    <x v="7"/>
    <n v="0"/>
    <n v="0"/>
    <x v="0"/>
    <x v="156"/>
    <x v="4"/>
    <x v="0"/>
  </r>
  <r>
    <x v="2"/>
    <x v="1"/>
    <x v="1244"/>
    <x v="1"/>
    <s v="Unknown"/>
    <x v="7"/>
    <n v="1"/>
    <n v="0"/>
    <x v="2"/>
    <x v="182"/>
    <x v="5"/>
    <x v="0"/>
  </r>
  <r>
    <x v="2"/>
    <x v="0"/>
    <x v="1245"/>
    <x v="0"/>
    <s v="Unknown"/>
    <x v="7"/>
    <n v="1"/>
    <n v="0"/>
    <x v="2"/>
    <x v="182"/>
    <x v="5"/>
    <x v="0"/>
  </r>
  <r>
    <x v="2"/>
    <x v="1"/>
    <x v="1246"/>
    <x v="1"/>
    <n v="32"/>
    <x v="4"/>
    <n v="0"/>
    <n v="0"/>
    <x v="0"/>
    <x v="153"/>
    <x v="4"/>
    <x v="0"/>
  </r>
  <r>
    <x v="2"/>
    <x v="1"/>
    <x v="1247"/>
    <x v="1"/>
    <s v="Unknown"/>
    <x v="7"/>
    <n v="0"/>
    <n v="0"/>
    <x v="0"/>
    <x v="179"/>
    <x v="4"/>
    <x v="3"/>
  </r>
  <r>
    <x v="2"/>
    <x v="1"/>
    <x v="1248"/>
    <x v="1"/>
    <s v="Unknown"/>
    <x v="7"/>
    <n v="0"/>
    <n v="0"/>
    <x v="0"/>
    <x v="168"/>
    <x v="4"/>
    <x v="0"/>
  </r>
  <r>
    <x v="2"/>
    <x v="1"/>
    <x v="1249"/>
    <x v="1"/>
    <n v="30.5"/>
    <x v="0"/>
    <n v="0"/>
    <n v="0"/>
    <x v="0"/>
    <x v="156"/>
    <x v="4"/>
    <x v="0"/>
  </r>
  <r>
    <x v="2"/>
    <x v="1"/>
    <x v="1250"/>
    <x v="1"/>
    <n v="44"/>
    <x v="2"/>
    <n v="0"/>
    <n v="0"/>
    <x v="0"/>
    <x v="156"/>
    <x v="4"/>
    <x v="0"/>
  </r>
  <r>
    <x v="2"/>
    <x v="1"/>
    <x v="1251"/>
    <x v="1"/>
    <s v="Unknown"/>
    <x v="7"/>
    <n v="0"/>
    <n v="0"/>
    <x v="0"/>
    <x v="154"/>
    <x v="4"/>
    <x v="1"/>
  </r>
  <r>
    <x v="2"/>
    <x v="0"/>
    <x v="1252"/>
    <x v="1"/>
    <n v="25"/>
    <x v="0"/>
    <n v="0"/>
    <n v="0"/>
    <x v="0"/>
    <x v="4"/>
    <x v="4"/>
    <x v="0"/>
  </r>
  <r>
    <x v="2"/>
    <x v="1"/>
    <x v="1253"/>
    <x v="1"/>
    <s v="Unknown"/>
    <x v="7"/>
    <n v="0"/>
    <n v="0"/>
    <x v="0"/>
    <x v="154"/>
    <x v="4"/>
    <x v="1"/>
  </r>
  <r>
    <x v="2"/>
    <x v="0"/>
    <x v="1254"/>
    <x v="1"/>
    <n v="7"/>
    <x v="1"/>
    <n v="1"/>
    <n v="1"/>
    <x v="3"/>
    <x v="180"/>
    <x v="5"/>
    <x v="1"/>
  </r>
  <r>
    <x v="2"/>
    <x v="0"/>
    <x v="1255"/>
    <x v="0"/>
    <n v="9"/>
    <x v="1"/>
    <n v="1"/>
    <n v="1"/>
    <x v="3"/>
    <x v="180"/>
    <x v="5"/>
    <x v="1"/>
  </r>
  <r>
    <x v="2"/>
    <x v="0"/>
    <x v="1256"/>
    <x v="0"/>
    <n v="29"/>
    <x v="0"/>
    <n v="0"/>
    <n v="2"/>
    <x v="3"/>
    <x v="180"/>
    <x v="5"/>
    <x v="1"/>
  </r>
  <r>
    <x v="2"/>
    <x v="1"/>
    <x v="1257"/>
    <x v="1"/>
    <n v="36"/>
    <x v="4"/>
    <n v="0"/>
    <n v="0"/>
    <x v="0"/>
    <x v="168"/>
    <x v="4"/>
    <x v="0"/>
  </r>
  <r>
    <x v="2"/>
    <x v="0"/>
    <x v="1258"/>
    <x v="0"/>
    <n v="18"/>
    <x v="1"/>
    <n v="0"/>
    <n v="0"/>
    <x v="0"/>
    <x v="278"/>
    <x v="4"/>
    <x v="0"/>
  </r>
  <r>
    <x v="2"/>
    <x v="0"/>
    <x v="1259"/>
    <x v="0"/>
    <n v="63"/>
    <x v="3"/>
    <n v="0"/>
    <n v="0"/>
    <x v="0"/>
    <x v="235"/>
    <x v="4"/>
    <x v="0"/>
  </r>
  <r>
    <x v="2"/>
    <x v="1"/>
    <x v="1260"/>
    <x v="1"/>
    <s v="Unknown"/>
    <x v="7"/>
    <n v="1"/>
    <n v="1"/>
    <x v="3"/>
    <x v="123"/>
    <x v="5"/>
    <x v="0"/>
  </r>
  <r>
    <x v="2"/>
    <x v="1"/>
    <x v="1261"/>
    <x v="1"/>
    <n v="11.5"/>
    <x v="1"/>
    <n v="1"/>
    <n v="1"/>
    <x v="3"/>
    <x v="123"/>
    <x v="5"/>
    <x v="0"/>
  </r>
  <r>
    <x v="2"/>
    <x v="1"/>
    <x v="1262"/>
    <x v="1"/>
    <n v="40.5"/>
    <x v="4"/>
    <n v="0"/>
    <n v="2"/>
    <x v="3"/>
    <x v="123"/>
    <x v="5"/>
    <x v="0"/>
  </r>
  <r>
    <x v="2"/>
    <x v="1"/>
    <x v="1263"/>
    <x v="0"/>
    <n v="10"/>
    <x v="1"/>
    <n v="0"/>
    <n v="2"/>
    <x v="3"/>
    <x v="198"/>
    <x v="5"/>
    <x v="0"/>
  </r>
  <r>
    <x v="2"/>
    <x v="1"/>
    <x v="1264"/>
    <x v="1"/>
    <n v="36"/>
    <x v="4"/>
    <n v="1"/>
    <n v="1"/>
    <x v="3"/>
    <x v="198"/>
    <x v="5"/>
    <x v="0"/>
  </r>
  <r>
    <x v="2"/>
    <x v="1"/>
    <x v="1265"/>
    <x v="0"/>
    <n v="30"/>
    <x v="0"/>
    <n v="1"/>
    <n v="1"/>
    <x v="3"/>
    <x v="198"/>
    <x v="5"/>
    <x v="0"/>
  </r>
  <r>
    <x v="2"/>
    <x v="1"/>
    <x v="1266"/>
    <x v="1"/>
    <s v="Unknown"/>
    <x v="7"/>
    <n v="0"/>
    <n v="0"/>
    <x v="0"/>
    <x v="200"/>
    <x v="4"/>
    <x v="0"/>
  </r>
  <r>
    <x v="2"/>
    <x v="1"/>
    <x v="1267"/>
    <x v="1"/>
    <n v="33"/>
    <x v="4"/>
    <n v="0"/>
    <n v="0"/>
    <x v="0"/>
    <x v="200"/>
    <x v="4"/>
    <x v="0"/>
  </r>
  <r>
    <x v="2"/>
    <x v="1"/>
    <x v="1268"/>
    <x v="1"/>
    <n v="28"/>
    <x v="0"/>
    <n v="0"/>
    <n v="0"/>
    <x v="0"/>
    <x v="200"/>
    <x v="4"/>
    <x v="0"/>
  </r>
  <r>
    <x v="2"/>
    <x v="1"/>
    <x v="1269"/>
    <x v="1"/>
    <n v="28"/>
    <x v="0"/>
    <n v="0"/>
    <n v="0"/>
    <x v="0"/>
    <x v="200"/>
    <x v="4"/>
    <x v="0"/>
  </r>
  <r>
    <x v="2"/>
    <x v="1"/>
    <x v="1270"/>
    <x v="1"/>
    <n v="47"/>
    <x v="2"/>
    <n v="0"/>
    <n v="0"/>
    <x v="0"/>
    <x v="279"/>
    <x v="4"/>
    <x v="0"/>
  </r>
  <r>
    <x v="2"/>
    <x v="1"/>
    <x v="1271"/>
    <x v="0"/>
    <n v="18"/>
    <x v="1"/>
    <n v="2"/>
    <n v="0"/>
    <x v="3"/>
    <x v="280"/>
    <x v="5"/>
    <x v="0"/>
  </r>
  <r>
    <x v="2"/>
    <x v="1"/>
    <x v="1272"/>
    <x v="1"/>
    <n v="31"/>
    <x v="4"/>
    <n v="3"/>
    <n v="0"/>
    <x v="1"/>
    <x v="280"/>
    <x v="5"/>
    <x v="0"/>
  </r>
  <r>
    <x v="2"/>
    <x v="1"/>
    <x v="1273"/>
    <x v="1"/>
    <n v="16"/>
    <x v="1"/>
    <n v="2"/>
    <n v="0"/>
    <x v="3"/>
    <x v="280"/>
    <x v="5"/>
    <x v="0"/>
  </r>
  <r>
    <x v="2"/>
    <x v="1"/>
    <x v="1274"/>
    <x v="0"/>
    <n v="31"/>
    <x v="4"/>
    <n v="1"/>
    <n v="0"/>
    <x v="2"/>
    <x v="280"/>
    <x v="5"/>
    <x v="0"/>
  </r>
  <r>
    <x v="2"/>
    <x v="0"/>
    <x v="1275"/>
    <x v="1"/>
    <n v="22"/>
    <x v="0"/>
    <n v="0"/>
    <n v="0"/>
    <x v="0"/>
    <x v="171"/>
    <x v="4"/>
    <x v="1"/>
  </r>
  <r>
    <x v="2"/>
    <x v="1"/>
    <x v="1276"/>
    <x v="1"/>
    <n v="20"/>
    <x v="0"/>
    <n v="0"/>
    <n v="0"/>
    <x v="0"/>
    <x v="164"/>
    <x v="4"/>
    <x v="0"/>
  </r>
  <r>
    <x v="2"/>
    <x v="1"/>
    <x v="1277"/>
    <x v="0"/>
    <n v="14"/>
    <x v="1"/>
    <n v="0"/>
    <n v="0"/>
    <x v="0"/>
    <x v="164"/>
    <x v="4"/>
    <x v="0"/>
  </r>
  <r>
    <x v="2"/>
    <x v="1"/>
    <x v="1278"/>
    <x v="1"/>
    <n v="22"/>
    <x v="0"/>
    <n v="0"/>
    <n v="0"/>
    <x v="0"/>
    <x v="168"/>
    <x v="4"/>
    <x v="0"/>
  </r>
  <r>
    <x v="2"/>
    <x v="1"/>
    <x v="1279"/>
    <x v="1"/>
    <n v="22"/>
    <x v="0"/>
    <n v="0"/>
    <n v="0"/>
    <x v="0"/>
    <x v="279"/>
    <x v="4"/>
    <x v="0"/>
  </r>
  <r>
    <x v="2"/>
    <x v="1"/>
    <x v="1280"/>
    <x v="1"/>
    <s v="Unknown"/>
    <x v="7"/>
    <n v="0"/>
    <n v="0"/>
    <x v="0"/>
    <x v="156"/>
    <x v="4"/>
    <x v="0"/>
  </r>
  <r>
    <x v="2"/>
    <x v="1"/>
    <x v="1281"/>
    <x v="1"/>
    <s v="Unknown"/>
    <x v="7"/>
    <n v="0"/>
    <n v="0"/>
    <x v="0"/>
    <x v="150"/>
    <x v="4"/>
    <x v="0"/>
  </r>
  <r>
    <x v="2"/>
    <x v="1"/>
    <x v="1282"/>
    <x v="1"/>
    <s v="Unknown"/>
    <x v="7"/>
    <n v="0"/>
    <n v="0"/>
    <x v="0"/>
    <x v="156"/>
    <x v="4"/>
    <x v="0"/>
  </r>
  <r>
    <x v="2"/>
    <x v="1"/>
    <x v="1283"/>
    <x v="1"/>
    <n v="32.5"/>
    <x v="4"/>
    <n v="0"/>
    <n v="0"/>
    <x v="0"/>
    <x v="200"/>
    <x v="4"/>
    <x v="0"/>
  </r>
  <r>
    <x v="2"/>
    <x v="0"/>
    <x v="1284"/>
    <x v="0"/>
    <n v="38"/>
    <x v="4"/>
    <n v="0"/>
    <n v="0"/>
    <x v="0"/>
    <x v="154"/>
    <x v="4"/>
    <x v="1"/>
  </r>
  <r>
    <x v="2"/>
    <x v="1"/>
    <x v="1285"/>
    <x v="1"/>
    <n v="51"/>
    <x v="5"/>
    <n v="0"/>
    <n v="0"/>
    <x v="0"/>
    <x v="179"/>
    <x v="4"/>
    <x v="0"/>
  </r>
  <r>
    <x v="2"/>
    <x v="1"/>
    <x v="1286"/>
    <x v="1"/>
    <n v="18"/>
    <x v="1"/>
    <n v="1"/>
    <n v="0"/>
    <x v="2"/>
    <x v="222"/>
    <x v="4"/>
    <x v="0"/>
  </r>
  <r>
    <x v="2"/>
    <x v="1"/>
    <x v="1287"/>
    <x v="1"/>
    <n v="21"/>
    <x v="0"/>
    <n v="1"/>
    <n v="0"/>
    <x v="2"/>
    <x v="222"/>
    <x v="4"/>
    <x v="0"/>
  </r>
  <r>
    <x v="2"/>
    <x v="0"/>
    <x v="1288"/>
    <x v="0"/>
    <n v="47"/>
    <x v="2"/>
    <n v="1"/>
    <n v="0"/>
    <x v="2"/>
    <x v="260"/>
    <x v="4"/>
    <x v="0"/>
  </r>
  <r>
    <x v="2"/>
    <x v="1"/>
    <x v="1289"/>
    <x v="1"/>
    <s v="Unknown"/>
    <x v="7"/>
    <n v="0"/>
    <n v="0"/>
    <x v="0"/>
    <x v="258"/>
    <x v="4"/>
    <x v="0"/>
  </r>
  <r>
    <x v="2"/>
    <x v="1"/>
    <x v="1290"/>
    <x v="1"/>
    <s v="Unknown"/>
    <x v="7"/>
    <n v="0"/>
    <n v="0"/>
    <x v="0"/>
    <x v="150"/>
    <x v="4"/>
    <x v="0"/>
  </r>
  <r>
    <x v="2"/>
    <x v="1"/>
    <x v="1291"/>
    <x v="1"/>
    <s v="Unknown"/>
    <x v="7"/>
    <n v="0"/>
    <n v="0"/>
    <x v="0"/>
    <x v="156"/>
    <x v="4"/>
    <x v="0"/>
  </r>
  <r>
    <x v="2"/>
    <x v="1"/>
    <x v="1292"/>
    <x v="1"/>
    <n v="28.5"/>
    <x v="0"/>
    <n v="0"/>
    <n v="0"/>
    <x v="0"/>
    <x v="182"/>
    <x v="5"/>
    <x v="0"/>
  </r>
  <r>
    <x v="2"/>
    <x v="1"/>
    <x v="1293"/>
    <x v="1"/>
    <n v="21"/>
    <x v="0"/>
    <n v="0"/>
    <n v="0"/>
    <x v="0"/>
    <x v="155"/>
    <x v="4"/>
    <x v="0"/>
  </r>
  <r>
    <x v="2"/>
    <x v="1"/>
    <x v="1294"/>
    <x v="1"/>
    <n v="27"/>
    <x v="0"/>
    <n v="0"/>
    <n v="0"/>
    <x v="0"/>
    <x v="188"/>
    <x v="4"/>
    <x v="0"/>
  </r>
  <r>
    <x v="2"/>
    <x v="1"/>
    <x v="1295"/>
    <x v="1"/>
    <s v="Unknown"/>
    <x v="7"/>
    <n v="0"/>
    <n v="0"/>
    <x v="0"/>
    <x v="155"/>
    <x v="4"/>
    <x v="0"/>
  </r>
  <r>
    <x v="2"/>
    <x v="1"/>
    <x v="1296"/>
    <x v="1"/>
    <n v="36"/>
    <x v="4"/>
    <n v="0"/>
    <n v="0"/>
    <x v="0"/>
    <x v="200"/>
    <x v="4"/>
    <x v="0"/>
  </r>
  <r>
    <x v="2"/>
    <x v="1"/>
    <x v="1297"/>
    <x v="1"/>
    <n v="27"/>
    <x v="0"/>
    <n v="1"/>
    <n v="0"/>
    <x v="2"/>
    <x v="175"/>
    <x v="5"/>
    <x v="1"/>
  </r>
  <r>
    <x v="2"/>
    <x v="0"/>
    <x v="1298"/>
    <x v="0"/>
    <n v="15"/>
    <x v="1"/>
    <n v="1"/>
    <n v="0"/>
    <x v="2"/>
    <x v="175"/>
    <x v="5"/>
    <x v="1"/>
  </r>
  <r>
    <x v="2"/>
    <x v="1"/>
    <x v="1299"/>
    <x v="1"/>
    <n v="45.5"/>
    <x v="2"/>
    <n v="0"/>
    <n v="0"/>
    <x v="0"/>
    <x v="171"/>
    <x v="4"/>
    <x v="1"/>
  </r>
  <r>
    <x v="2"/>
    <x v="1"/>
    <x v="1300"/>
    <x v="1"/>
    <s v="Unknown"/>
    <x v="7"/>
    <n v="0"/>
    <n v="0"/>
    <x v="0"/>
    <x v="171"/>
    <x v="4"/>
    <x v="1"/>
  </r>
  <r>
    <x v="2"/>
    <x v="1"/>
    <x v="1301"/>
    <x v="1"/>
    <s v="Unknown"/>
    <x v="7"/>
    <n v="0"/>
    <n v="0"/>
    <x v="0"/>
    <x v="172"/>
    <x v="5"/>
    <x v="1"/>
  </r>
  <r>
    <x v="2"/>
    <x v="1"/>
    <x v="1302"/>
    <x v="0"/>
    <n v="14.5"/>
    <x v="1"/>
    <n v="1"/>
    <n v="0"/>
    <x v="2"/>
    <x v="175"/>
    <x v="5"/>
    <x v="1"/>
  </r>
  <r>
    <x v="2"/>
    <x v="1"/>
    <x v="1303"/>
    <x v="0"/>
    <s v="Unknown"/>
    <x v="7"/>
    <n v="1"/>
    <n v="0"/>
    <x v="2"/>
    <x v="175"/>
    <x v="5"/>
    <x v="1"/>
  </r>
  <r>
    <x v="2"/>
    <x v="1"/>
    <x v="1304"/>
    <x v="1"/>
    <n v="26.5"/>
    <x v="0"/>
    <n v="0"/>
    <n v="0"/>
    <x v="0"/>
    <x v="171"/>
    <x v="4"/>
    <x v="1"/>
  </r>
  <r>
    <x v="2"/>
    <x v="1"/>
    <x v="1305"/>
    <x v="1"/>
    <n v="27"/>
    <x v="0"/>
    <n v="0"/>
    <n v="0"/>
    <x v="0"/>
    <x v="171"/>
    <x v="4"/>
    <x v="1"/>
  </r>
  <r>
    <x v="2"/>
    <x v="1"/>
    <x v="1306"/>
    <x v="1"/>
    <n v="29"/>
    <x v="0"/>
    <n v="0"/>
    <n v="0"/>
    <x v="0"/>
    <x v="281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amily members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21">
  <location ref="A127:B137" firstHeaderRow="1" firstDataRow="1" firstDataCol="1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showAll="0">
      <items count="1308">
        <item x="600"/>
        <item x="601"/>
        <item x="602"/>
        <item x="603"/>
        <item x="604"/>
        <item x="605"/>
        <item x="323"/>
        <item x="324"/>
        <item x="606"/>
        <item x="607"/>
        <item x="608"/>
        <item x="609"/>
        <item x="610"/>
        <item x="611"/>
        <item x="612"/>
        <item x="613"/>
        <item x="325"/>
        <item x="614"/>
        <item x="615"/>
        <item x="616"/>
        <item x="617"/>
        <item x="0"/>
        <item x="618"/>
        <item x="1"/>
        <item x="2"/>
        <item x="3"/>
        <item x="4"/>
        <item x="619"/>
        <item x="620"/>
        <item x="621"/>
        <item x="5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326"/>
        <item x="327"/>
        <item x="6"/>
        <item x="7"/>
        <item x="634"/>
        <item x="328"/>
        <item x="329"/>
        <item x="8"/>
        <item x="635"/>
        <item x="636"/>
        <item x="637"/>
        <item x="9"/>
        <item x="330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10"/>
        <item x="11"/>
        <item x="650"/>
        <item x="651"/>
        <item x="12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331"/>
        <item x="332"/>
        <item x="663"/>
        <item x="333"/>
        <item x="334"/>
        <item x="664"/>
        <item x="665"/>
        <item x="666"/>
        <item x="13"/>
        <item x="14"/>
        <item x="667"/>
        <item x="668"/>
        <item x="335"/>
        <item x="15"/>
        <item x="16"/>
        <item x="17"/>
        <item x="18"/>
        <item x="336"/>
        <item x="337"/>
        <item x="19"/>
        <item x="338"/>
        <item x="669"/>
        <item x="339"/>
        <item x="340"/>
        <item x="341"/>
        <item x="342"/>
        <item x="20"/>
        <item x="21"/>
        <item x="343"/>
        <item x="22"/>
        <item x="670"/>
        <item x="344"/>
        <item x="671"/>
        <item x="345"/>
        <item x="672"/>
        <item x="673"/>
        <item x="23"/>
        <item x="674"/>
        <item x="24"/>
        <item x="675"/>
        <item x="25"/>
        <item x="26"/>
        <item x="27"/>
        <item x="28"/>
        <item x="676"/>
        <item x="29"/>
        <item x="30"/>
        <item x="31"/>
        <item x="32"/>
        <item x="33"/>
        <item x="34"/>
        <item x="677"/>
        <item x="346"/>
        <item x="678"/>
        <item x="679"/>
        <item x="680"/>
        <item x="681"/>
        <item x="682"/>
        <item x="683"/>
        <item x="684"/>
        <item x="35"/>
        <item x="685"/>
        <item x="347"/>
        <item x="36"/>
        <item x="348"/>
        <item x="686"/>
        <item x="37"/>
        <item x="38"/>
        <item x="687"/>
        <item x="39"/>
        <item x="688"/>
        <item x="689"/>
        <item x="40"/>
        <item x="690"/>
        <item x="691"/>
        <item x="349"/>
        <item x="350"/>
        <item x="351"/>
        <item x="41"/>
        <item x="42"/>
        <item x="352"/>
        <item x="353"/>
        <item x="354"/>
        <item x="692"/>
        <item x="693"/>
        <item x="43"/>
        <item x="694"/>
        <item x="44"/>
        <item x="695"/>
        <item x="355"/>
        <item x="356"/>
        <item x="45"/>
        <item x="357"/>
        <item x="358"/>
        <item x="696"/>
        <item x="697"/>
        <item x="698"/>
        <item x="699"/>
        <item x="46"/>
        <item x="47"/>
        <item x="359"/>
        <item x="360"/>
        <item x="361"/>
        <item x="700"/>
        <item x="701"/>
        <item x="362"/>
        <item x="363"/>
        <item x="702"/>
        <item x="703"/>
        <item x="48"/>
        <item x="704"/>
        <item x="705"/>
        <item x="706"/>
        <item x="364"/>
        <item x="49"/>
        <item x="50"/>
        <item x="707"/>
        <item x="708"/>
        <item x="51"/>
        <item x="709"/>
        <item x="710"/>
        <item x="52"/>
        <item x="53"/>
        <item x="54"/>
        <item x="55"/>
        <item x="56"/>
        <item x="365"/>
        <item x="57"/>
        <item x="366"/>
        <item x="711"/>
        <item x="58"/>
        <item x="59"/>
        <item x="60"/>
        <item x="61"/>
        <item x="712"/>
        <item x="62"/>
        <item x="63"/>
        <item x="64"/>
        <item x="65"/>
        <item x="367"/>
        <item x="368"/>
        <item x="369"/>
        <item x="713"/>
        <item x="66"/>
        <item x="67"/>
        <item x="68"/>
        <item x="69"/>
        <item x="714"/>
        <item x="70"/>
        <item x="715"/>
        <item x="370"/>
        <item x="371"/>
        <item x="716"/>
        <item x="717"/>
        <item x="71"/>
        <item x="72"/>
        <item x="372"/>
        <item x="373"/>
        <item x="73"/>
        <item x="74"/>
        <item x="718"/>
        <item x="719"/>
        <item x="720"/>
        <item x="721"/>
        <item x="722"/>
        <item x="374"/>
        <item x="375"/>
        <item x="376"/>
        <item x="75"/>
        <item x="377"/>
        <item x="378"/>
        <item x="379"/>
        <item x="76"/>
        <item x="77"/>
        <item x="78"/>
        <item x="723"/>
        <item x="724"/>
        <item x="725"/>
        <item x="726"/>
        <item x="727"/>
        <item x="380"/>
        <item x="728"/>
        <item x="729"/>
        <item x="730"/>
        <item x="381"/>
        <item x="382"/>
        <item x="731"/>
        <item x="79"/>
        <item x="383"/>
        <item x="732"/>
        <item x="733"/>
        <item x="734"/>
        <item x="735"/>
        <item x="80"/>
        <item x="736"/>
        <item x="737"/>
        <item x="738"/>
        <item x="81"/>
        <item x="82"/>
        <item x="83"/>
        <item x="739"/>
        <item x="84"/>
        <item x="85"/>
        <item x="384"/>
        <item x="740"/>
        <item x="741"/>
        <item x="742"/>
        <item x="743"/>
        <item x="744"/>
        <item x="745"/>
        <item x="86"/>
        <item x="746"/>
        <item x="747"/>
        <item x="748"/>
        <item x="87"/>
        <item x="88"/>
        <item x="749"/>
        <item x="750"/>
        <item x="89"/>
        <item x="90"/>
        <item x="385"/>
        <item x="751"/>
        <item x="386"/>
        <item x="752"/>
        <item x="753"/>
        <item x="754"/>
        <item x="387"/>
        <item x="388"/>
        <item x="755"/>
        <item x="756"/>
        <item x="389"/>
        <item x="757"/>
        <item x="758"/>
        <item x="759"/>
        <item x="760"/>
        <item x="390"/>
        <item x="761"/>
        <item x="762"/>
        <item x="763"/>
        <item x="764"/>
        <item x="391"/>
        <item x="392"/>
        <item x="765"/>
        <item x="766"/>
        <item x="393"/>
        <item x="767"/>
        <item x="768"/>
        <item x="769"/>
        <item x="770"/>
        <item x="394"/>
        <item x="91"/>
        <item x="92"/>
        <item x="771"/>
        <item x="772"/>
        <item x="773"/>
        <item x="93"/>
        <item x="94"/>
        <item x="95"/>
        <item x="774"/>
        <item x="395"/>
        <item x="396"/>
        <item x="775"/>
        <item x="776"/>
        <item x="96"/>
        <item x="97"/>
        <item x="98"/>
        <item x="777"/>
        <item x="397"/>
        <item x="778"/>
        <item x="779"/>
        <item x="780"/>
        <item x="398"/>
        <item x="399"/>
        <item x="400"/>
        <item x="781"/>
        <item x="99"/>
        <item x="100"/>
        <item x="101"/>
        <item x="782"/>
        <item x="401"/>
        <item x="402"/>
        <item x="783"/>
        <item x="784"/>
        <item x="102"/>
        <item x="785"/>
        <item x="403"/>
        <item x="786"/>
        <item x="787"/>
        <item x="788"/>
        <item x="789"/>
        <item x="790"/>
        <item x="791"/>
        <item x="792"/>
        <item x="793"/>
        <item x="794"/>
        <item x="404"/>
        <item x="103"/>
        <item x="104"/>
        <item x="105"/>
        <item x="795"/>
        <item x="405"/>
        <item x="796"/>
        <item x="106"/>
        <item x="406"/>
        <item x="407"/>
        <item x="408"/>
        <item x="797"/>
        <item x="798"/>
        <item x="107"/>
        <item x="799"/>
        <item x="108"/>
        <item x="800"/>
        <item x="801"/>
        <item x="109"/>
        <item x="802"/>
        <item x="803"/>
        <item x="804"/>
        <item x="805"/>
        <item x="806"/>
        <item x="807"/>
        <item x="808"/>
        <item x="809"/>
        <item x="810"/>
        <item x="110"/>
        <item x="111"/>
        <item x="112"/>
        <item x="113"/>
        <item x="114"/>
        <item x="115"/>
        <item x="116"/>
        <item x="811"/>
        <item x="409"/>
        <item x="117"/>
        <item x="812"/>
        <item x="118"/>
        <item x="119"/>
        <item x="120"/>
        <item x="121"/>
        <item x="122"/>
        <item x="123"/>
        <item x="124"/>
        <item x="410"/>
        <item x="125"/>
        <item x="411"/>
        <item x="126"/>
        <item x="127"/>
        <item x="412"/>
        <item x="413"/>
        <item x="414"/>
        <item x="813"/>
        <item x="814"/>
        <item x="415"/>
        <item x="416"/>
        <item x="417"/>
        <item x="128"/>
        <item x="129"/>
        <item x="815"/>
        <item x="130"/>
        <item x="131"/>
        <item x="132"/>
        <item x="418"/>
        <item x="419"/>
        <item x="420"/>
        <item x="421"/>
        <item x="816"/>
        <item x="422"/>
        <item x="423"/>
        <item x="817"/>
        <item x="424"/>
        <item x="818"/>
        <item x="133"/>
        <item x="134"/>
        <item x="135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136"/>
        <item x="137"/>
        <item x="138"/>
        <item x="139"/>
        <item x="832"/>
        <item x="425"/>
        <item x="140"/>
        <item x="141"/>
        <item x="833"/>
        <item x="834"/>
        <item x="142"/>
        <item x="835"/>
        <item x="836"/>
        <item x="837"/>
        <item x="838"/>
        <item x="839"/>
        <item x="840"/>
        <item x="841"/>
        <item x="842"/>
        <item x="843"/>
        <item x="844"/>
        <item x="426"/>
        <item x="427"/>
        <item x="428"/>
        <item x="845"/>
        <item x="846"/>
        <item x="847"/>
        <item x="848"/>
        <item x="849"/>
        <item x="850"/>
        <item x="429"/>
        <item x="143"/>
        <item x="144"/>
        <item x="851"/>
        <item x="852"/>
        <item x="430"/>
        <item x="145"/>
        <item x="146"/>
        <item x="431"/>
        <item x="147"/>
        <item x="432"/>
        <item x="148"/>
        <item x="433"/>
        <item x="149"/>
        <item x="150"/>
        <item x="434"/>
        <item x="435"/>
        <item x="853"/>
        <item x="436"/>
        <item x="151"/>
        <item x="854"/>
        <item x="152"/>
        <item x="153"/>
        <item x="154"/>
        <item x="155"/>
        <item x="156"/>
        <item x="855"/>
        <item x="856"/>
        <item x="857"/>
        <item x="858"/>
        <item x="859"/>
        <item x="860"/>
        <item x="861"/>
        <item x="862"/>
        <item x="863"/>
        <item x="864"/>
        <item x="437"/>
        <item x="438"/>
        <item x="439"/>
        <item x="440"/>
        <item x="441"/>
        <item x="442"/>
        <item x="443"/>
        <item x="444"/>
        <item x="157"/>
        <item x="445"/>
        <item x="158"/>
        <item x="159"/>
        <item x="160"/>
        <item x="865"/>
        <item x="866"/>
        <item x="446"/>
        <item x="447"/>
        <item x="448"/>
        <item x="449"/>
        <item x="450"/>
        <item x="161"/>
        <item x="451"/>
        <item x="452"/>
        <item x="867"/>
        <item x="868"/>
        <item x="162"/>
        <item x="163"/>
        <item x="164"/>
        <item x="869"/>
        <item x="453"/>
        <item x="870"/>
        <item x="454"/>
        <item x="871"/>
        <item x="455"/>
        <item x="456"/>
        <item x="165"/>
        <item x="166"/>
        <item x="167"/>
        <item x="872"/>
        <item x="457"/>
        <item x="873"/>
        <item x="874"/>
        <item x="168"/>
        <item x="458"/>
        <item x="875"/>
        <item x="876"/>
        <item x="877"/>
        <item x="169"/>
        <item x="170"/>
        <item x="878"/>
        <item x="459"/>
        <item x="460"/>
        <item x="879"/>
        <item x="880"/>
        <item x="881"/>
        <item x="461"/>
        <item x="462"/>
        <item x="463"/>
        <item x="464"/>
        <item x="882"/>
        <item x="883"/>
        <item x="884"/>
        <item x="885"/>
        <item x="46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171"/>
        <item x="903"/>
        <item x="904"/>
        <item x="905"/>
        <item x="172"/>
        <item x="906"/>
        <item x="907"/>
        <item x="908"/>
        <item x="909"/>
        <item x="910"/>
        <item x="466"/>
        <item x="467"/>
        <item x="911"/>
        <item x="912"/>
        <item x="913"/>
        <item x="914"/>
        <item x="468"/>
        <item x="915"/>
        <item x="916"/>
        <item x="917"/>
        <item x="918"/>
        <item x="469"/>
        <item x="919"/>
        <item x="470"/>
        <item x="920"/>
        <item x="173"/>
        <item x="921"/>
        <item x="922"/>
        <item x="923"/>
        <item x="471"/>
        <item x="924"/>
        <item x="174"/>
        <item x="175"/>
        <item x="176"/>
        <item x="925"/>
        <item x="926"/>
        <item x="927"/>
        <item x="928"/>
        <item x="929"/>
        <item x="177"/>
        <item x="178"/>
        <item x="930"/>
        <item x="931"/>
        <item x="932"/>
        <item x="933"/>
        <item x="934"/>
        <item x="472"/>
        <item x="179"/>
        <item x="935"/>
        <item x="936"/>
        <item x="937"/>
        <item x="473"/>
        <item x="938"/>
        <item x="939"/>
        <item x="180"/>
        <item x="474"/>
        <item x="940"/>
        <item x="475"/>
        <item x="476"/>
        <item x="941"/>
        <item x="942"/>
        <item x="943"/>
        <item x="944"/>
        <item x="477"/>
        <item x="945"/>
        <item x="946"/>
        <item x="947"/>
        <item x="478"/>
        <item x="479"/>
        <item x="480"/>
        <item x="481"/>
        <item x="948"/>
        <item x="949"/>
        <item x="950"/>
        <item x="181"/>
        <item x="951"/>
        <item x="952"/>
        <item x="953"/>
        <item x="954"/>
        <item x="955"/>
        <item x="956"/>
        <item x="482"/>
        <item x="957"/>
        <item x="483"/>
        <item x="958"/>
        <item x="484"/>
        <item x="959"/>
        <item x="960"/>
        <item x="961"/>
        <item x="182"/>
        <item x="962"/>
        <item x="183"/>
        <item x="485"/>
        <item x="184"/>
        <item x="486"/>
        <item x="963"/>
        <item x="964"/>
        <item x="965"/>
        <item x="185"/>
        <item x="966"/>
        <item x="967"/>
        <item x="968"/>
        <item x="186"/>
        <item x="969"/>
        <item x="187"/>
        <item x="188"/>
        <item x="970"/>
        <item x="487"/>
        <item x="971"/>
        <item x="972"/>
        <item x="973"/>
        <item x="974"/>
        <item x="189"/>
        <item x="190"/>
        <item x="191"/>
        <item x="488"/>
        <item x="489"/>
        <item x="975"/>
        <item x="976"/>
        <item x="977"/>
        <item x="978"/>
        <item x="979"/>
        <item x="192"/>
        <item x="980"/>
        <item x="490"/>
        <item x="981"/>
        <item x="982"/>
        <item x="193"/>
        <item x="983"/>
        <item x="984"/>
        <item x="194"/>
        <item x="985"/>
        <item x="986"/>
        <item x="195"/>
        <item x="987"/>
        <item x="988"/>
        <item x="491"/>
        <item x="492"/>
        <item x="493"/>
        <item x="494"/>
        <item x="989"/>
        <item x="990"/>
        <item x="495"/>
        <item x="991"/>
        <item x="992"/>
        <item x="196"/>
        <item x="993"/>
        <item x="994"/>
        <item x="197"/>
        <item x="198"/>
        <item x="995"/>
        <item x="996"/>
        <item x="496"/>
        <item x="497"/>
        <item x="199"/>
        <item x="200"/>
        <item x="997"/>
        <item x="201"/>
        <item x="998"/>
        <item x="999"/>
        <item x="1000"/>
        <item x="1001"/>
        <item x="498"/>
        <item x="499"/>
        <item x="1002"/>
        <item x="1003"/>
        <item x="202"/>
        <item x="1004"/>
        <item x="1005"/>
        <item x="1006"/>
        <item x="500"/>
        <item x="1007"/>
        <item x="1008"/>
        <item x="1009"/>
        <item x="1010"/>
        <item x="1011"/>
        <item x="1012"/>
        <item x="501"/>
        <item x="502"/>
        <item x="503"/>
        <item x="1013"/>
        <item x="1014"/>
        <item x="504"/>
        <item x="203"/>
        <item x="204"/>
        <item x="1015"/>
        <item x="1016"/>
        <item x="205"/>
        <item x="505"/>
        <item x="206"/>
        <item x="207"/>
        <item x="208"/>
        <item x="1017"/>
        <item x="1018"/>
        <item x="1019"/>
        <item x="506"/>
        <item x="1020"/>
        <item x="209"/>
        <item x="1021"/>
        <item x="1022"/>
        <item x="210"/>
        <item x="507"/>
        <item x="1023"/>
        <item x="1024"/>
        <item x="211"/>
        <item x="1025"/>
        <item x="1026"/>
        <item x="1027"/>
        <item x="1028"/>
        <item x="508"/>
        <item x="509"/>
        <item x="1029"/>
        <item x="1030"/>
        <item x="1031"/>
        <item x="1032"/>
        <item x="1033"/>
        <item x="1034"/>
        <item x="1035"/>
        <item x="1036"/>
        <item x="510"/>
        <item x="1037"/>
        <item x="1038"/>
        <item x="1039"/>
        <item x="1040"/>
        <item x="1041"/>
        <item x="1042"/>
        <item x="1043"/>
        <item x="511"/>
        <item x="1044"/>
        <item x="1045"/>
        <item x="1046"/>
        <item x="1047"/>
        <item x="1048"/>
        <item x="1049"/>
        <item x="1050"/>
        <item x="1051"/>
        <item x="512"/>
        <item x="513"/>
        <item x="212"/>
        <item x="1052"/>
        <item x="514"/>
        <item x="515"/>
        <item x="516"/>
        <item x="1053"/>
        <item x="517"/>
        <item x="213"/>
        <item x="214"/>
        <item x="215"/>
        <item x="216"/>
        <item x="518"/>
        <item x="217"/>
        <item x="1054"/>
        <item x="1055"/>
        <item x="1056"/>
        <item x="1057"/>
        <item x="1058"/>
        <item x="1059"/>
        <item x="1060"/>
        <item x="1061"/>
        <item x="1062"/>
        <item x="519"/>
        <item x="1063"/>
        <item x="520"/>
        <item x="1064"/>
        <item x="521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218"/>
        <item x="1080"/>
        <item x="1081"/>
        <item x="1082"/>
        <item x="1083"/>
        <item x="1084"/>
        <item x="1085"/>
        <item x="1086"/>
        <item x="1087"/>
        <item x="219"/>
        <item x="1088"/>
        <item x="1089"/>
        <item x="1090"/>
        <item x="1091"/>
        <item x="1092"/>
        <item x="220"/>
        <item x="221"/>
        <item x="1093"/>
        <item x="522"/>
        <item x="222"/>
        <item x="523"/>
        <item x="524"/>
        <item x="525"/>
        <item x="526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527"/>
        <item x="528"/>
        <item x="223"/>
        <item x="529"/>
        <item x="224"/>
        <item x="1105"/>
        <item x="1106"/>
        <item x="1107"/>
        <item x="1108"/>
        <item x="225"/>
        <item x="1109"/>
        <item x="1110"/>
        <item x="1111"/>
        <item x="1112"/>
        <item x="226"/>
        <item x="227"/>
        <item x="1113"/>
        <item x="1114"/>
        <item x="1115"/>
        <item x="1116"/>
        <item x="228"/>
        <item x="229"/>
        <item x="530"/>
        <item x="1117"/>
        <item x="531"/>
        <item x="230"/>
        <item x="1118"/>
        <item x="532"/>
        <item x="1119"/>
        <item x="1120"/>
        <item x="1121"/>
        <item x="1122"/>
        <item x="1123"/>
        <item x="1124"/>
        <item x="1125"/>
        <item x="1126"/>
        <item x="1127"/>
        <item x="1128"/>
        <item x="231"/>
        <item x="533"/>
        <item x="534"/>
        <item x="535"/>
        <item x="1129"/>
        <item x="536"/>
        <item x="1130"/>
        <item x="1131"/>
        <item x="1132"/>
        <item x="537"/>
        <item x="538"/>
        <item x="232"/>
        <item x="233"/>
        <item x="539"/>
        <item x="540"/>
        <item x="541"/>
        <item x="542"/>
        <item x="1133"/>
        <item x="1134"/>
        <item x="1135"/>
        <item x="1136"/>
        <item x="543"/>
        <item x="1137"/>
        <item x="544"/>
        <item x="545"/>
        <item x="234"/>
        <item x="546"/>
        <item x="1138"/>
        <item x="235"/>
        <item x="1139"/>
        <item x="1140"/>
        <item x="1141"/>
        <item x="1142"/>
        <item x="1143"/>
        <item x="1144"/>
        <item x="547"/>
        <item x="548"/>
        <item x="549"/>
        <item x="550"/>
        <item x="551"/>
        <item x="1145"/>
        <item x="236"/>
        <item x="1146"/>
        <item x="1147"/>
        <item x="1148"/>
        <item x="1149"/>
        <item x="237"/>
        <item x="238"/>
        <item x="1150"/>
        <item x="1151"/>
        <item x="239"/>
        <item x="552"/>
        <item x="1152"/>
        <item x="240"/>
        <item x="1153"/>
        <item x="241"/>
        <item x="1154"/>
        <item x="1155"/>
        <item x="1156"/>
        <item x="242"/>
        <item x="243"/>
        <item x="244"/>
        <item x="1157"/>
        <item x="245"/>
        <item x="246"/>
        <item x="247"/>
        <item x="1158"/>
        <item x="248"/>
        <item x="553"/>
        <item x="1159"/>
        <item x="1160"/>
        <item x="1161"/>
        <item x="249"/>
        <item x="250"/>
        <item x="251"/>
        <item x="252"/>
        <item x="253"/>
        <item x="1162"/>
        <item x="1163"/>
        <item x="1164"/>
        <item x="25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255"/>
        <item x="1179"/>
        <item x="1180"/>
        <item x="256"/>
        <item x="1181"/>
        <item x="1182"/>
        <item x="1183"/>
        <item x="1184"/>
        <item x="1185"/>
        <item x="1187"/>
        <item x="1186"/>
        <item x="1188"/>
        <item x="1189"/>
        <item x="1190"/>
        <item x="1191"/>
        <item x="257"/>
        <item x="554"/>
        <item x="1192"/>
        <item x="555"/>
        <item x="258"/>
        <item x="259"/>
        <item x="556"/>
        <item x="1193"/>
        <item x="1194"/>
        <item x="1195"/>
        <item x="557"/>
        <item x="1196"/>
        <item x="1197"/>
        <item x="260"/>
        <item x="558"/>
        <item x="261"/>
        <item x="262"/>
        <item x="263"/>
        <item x="1198"/>
        <item x="264"/>
        <item x="559"/>
        <item x="560"/>
        <item x="1199"/>
        <item x="1200"/>
        <item x="1201"/>
        <item x="1202"/>
        <item x="1203"/>
        <item x="561"/>
        <item x="1204"/>
        <item x="1205"/>
        <item x="1206"/>
        <item x="1207"/>
        <item x="1208"/>
        <item x="1209"/>
        <item x="1210"/>
        <item x="562"/>
        <item x="563"/>
        <item x="1211"/>
        <item x="265"/>
        <item x="266"/>
        <item x="1212"/>
        <item x="564"/>
        <item x="267"/>
        <item x="268"/>
        <item x="269"/>
        <item x="1213"/>
        <item x="270"/>
        <item x="1214"/>
        <item x="271"/>
        <item x="272"/>
        <item x="565"/>
        <item x="1215"/>
        <item x="1216"/>
        <item x="1217"/>
        <item x="273"/>
        <item x="274"/>
        <item x="275"/>
        <item x="276"/>
        <item x="277"/>
        <item x="1218"/>
        <item x="278"/>
        <item x="1219"/>
        <item x="1220"/>
        <item x="1221"/>
        <item x="1222"/>
        <item x="566"/>
        <item x="279"/>
        <item x="280"/>
        <item x="281"/>
        <item x="282"/>
        <item x="283"/>
        <item x="567"/>
        <item x="284"/>
        <item x="1223"/>
        <item x="1224"/>
        <item x="1225"/>
        <item x="1226"/>
        <item x="285"/>
        <item x="286"/>
        <item x="1227"/>
        <item x="1228"/>
        <item x="1229"/>
        <item x="1230"/>
        <item x="1231"/>
        <item x="1232"/>
        <item x="287"/>
        <item x="1233"/>
        <item x="1234"/>
        <item x="1235"/>
        <item x="568"/>
        <item x="569"/>
        <item x="288"/>
        <item x="289"/>
        <item x="290"/>
        <item x="291"/>
        <item x="292"/>
        <item x="293"/>
        <item x="1236"/>
        <item x="294"/>
        <item x="295"/>
        <item x="296"/>
        <item x="1237"/>
        <item x="1238"/>
        <item x="1239"/>
        <item x="1240"/>
        <item x="1241"/>
        <item x="1242"/>
        <item x="1243"/>
        <item x="297"/>
        <item x="1244"/>
        <item x="1245"/>
        <item x="1246"/>
        <item x="1247"/>
        <item x="1248"/>
        <item x="1249"/>
        <item x="570"/>
        <item x="1250"/>
        <item x="1251"/>
        <item x="1252"/>
        <item x="1253"/>
        <item x="1254"/>
        <item x="1255"/>
        <item x="1256"/>
        <item x="571"/>
        <item x="572"/>
        <item x="573"/>
        <item x="298"/>
        <item x="1257"/>
        <item x="1258"/>
        <item x="1259"/>
        <item x="574"/>
        <item x="575"/>
        <item x="299"/>
        <item x="1260"/>
        <item x="1261"/>
        <item x="1262"/>
        <item x="300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576"/>
        <item x="1276"/>
        <item x="1277"/>
        <item x="1278"/>
        <item x="1279"/>
        <item x="577"/>
        <item x="301"/>
        <item x="302"/>
        <item x="1280"/>
        <item x="578"/>
        <item x="579"/>
        <item x="580"/>
        <item x="1281"/>
        <item x="303"/>
        <item x="304"/>
        <item x="581"/>
        <item x="582"/>
        <item x="583"/>
        <item x="584"/>
        <item x="1282"/>
        <item x="305"/>
        <item x="585"/>
        <item x="586"/>
        <item x="587"/>
        <item x="588"/>
        <item x="589"/>
        <item x="1283"/>
        <item x="590"/>
        <item x="591"/>
        <item x="592"/>
        <item x="593"/>
        <item x="1284"/>
        <item x="594"/>
        <item x="595"/>
        <item x="306"/>
        <item x="307"/>
        <item x="308"/>
        <item x="309"/>
        <item x="310"/>
        <item x="311"/>
        <item x="1285"/>
        <item x="312"/>
        <item x="313"/>
        <item x="314"/>
        <item x="1286"/>
        <item x="1287"/>
        <item x="596"/>
        <item x="1288"/>
        <item x="315"/>
        <item x="1289"/>
        <item x="1290"/>
        <item x="316"/>
        <item x="597"/>
        <item x="1291"/>
        <item x="1292"/>
        <item x="317"/>
        <item x="318"/>
        <item x="319"/>
        <item x="1293"/>
        <item x="1294"/>
        <item x="1295"/>
        <item x="1296"/>
        <item x="320"/>
        <item x="598"/>
        <item x="321"/>
        <item x="1297"/>
        <item x="1298"/>
        <item x="322"/>
        <item x="1299"/>
        <item x="1300"/>
        <item x="1301"/>
        <item x="599"/>
        <item x="1302"/>
        <item x="1303"/>
        <item x="1304"/>
        <item x="1305"/>
        <item x="1306"/>
        <item t="default"/>
      </items>
    </pivotField>
    <pivotField showAll="0"/>
    <pivotField showAll="0"/>
    <pivotField>
      <items count="9">
        <item x="1"/>
        <item x="0"/>
        <item x="4"/>
        <item x="2"/>
        <item x="5"/>
        <item x="3"/>
        <item x="6"/>
        <item x="7"/>
        <item t="default"/>
      </items>
    </pivotField>
    <pivotField showAll="0"/>
    <pivotField showAll="0"/>
    <pivotField axis="axisRow" dataField="1">
      <items count="10">
        <item x="0"/>
        <item x="2"/>
        <item x="3"/>
        <item x="1"/>
        <item x="5"/>
        <item x="4"/>
        <item x="6"/>
        <item x="7"/>
        <item x="8"/>
        <item t="default"/>
      </items>
    </pivotField>
    <pivotField showAll="0"/>
    <pivotField showAll="0" defaultSubtotal="0">
      <items count="7">
        <item x="4"/>
        <item x="5"/>
        <item x="2"/>
        <item x="3"/>
        <item x="6"/>
        <item x="1"/>
        <item x="0"/>
      </items>
    </pivotField>
    <pivotField showAll="0"/>
  </pivotFields>
  <rowFields count="1">
    <field x="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Liczba z Family Members" fld="8" subtotal="count" baseField="0" baseItem="0"/>
  </dataFields>
  <chartFormats count="3"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family members vs age bracke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21">
  <location ref="A112:K121" firstHeaderRow="1" firstDataRow="2" firstDataCol="1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/>
    <pivotField showAll="0">
      <items count="3">
        <item x="0"/>
        <item x="1"/>
        <item t="default"/>
      </items>
    </pivotField>
    <pivotField showAll="0"/>
    <pivotField axis="axisRow">
      <items count="9">
        <item x="1"/>
        <item x="0"/>
        <item x="4"/>
        <item x="2"/>
        <item x="5"/>
        <item x="3"/>
        <item x="6"/>
        <item h="1" x="7"/>
        <item t="default"/>
      </items>
    </pivotField>
    <pivotField showAll="0"/>
    <pivotField showAll="0"/>
    <pivotField axis="axisCol" showAll="0">
      <items count="10">
        <item x="0"/>
        <item x="2"/>
        <item x="3"/>
        <item x="1"/>
        <item x="5"/>
        <item x="4"/>
        <item x="6"/>
        <item x="7"/>
        <item x="8"/>
        <item t="default"/>
      </items>
    </pivotField>
    <pivotField showAll="0">
      <items count="283">
        <item x="4"/>
        <item x="251"/>
        <item x="177"/>
        <item x="33"/>
        <item x="249"/>
        <item x="238"/>
        <item x="219"/>
        <item x="222"/>
        <item x="187"/>
        <item x="216"/>
        <item x="196"/>
        <item x="204"/>
        <item x="260"/>
        <item x="184"/>
        <item x="161"/>
        <item x="220"/>
        <item x="227"/>
        <item x="241"/>
        <item x="171"/>
        <item x="154"/>
        <item x="155"/>
        <item x="185"/>
        <item x="253"/>
        <item x="190"/>
        <item x="229"/>
        <item x="150"/>
        <item x="267"/>
        <item x="240"/>
        <item x="191"/>
        <item x="152"/>
        <item x="264"/>
        <item x="183"/>
        <item x="266"/>
        <item x="189"/>
        <item x="232"/>
        <item x="207"/>
        <item x="179"/>
        <item x="166"/>
        <item x="272"/>
        <item x="243"/>
        <item x="167"/>
        <item x="248"/>
        <item x="186"/>
        <item x="231"/>
        <item x="209"/>
        <item x="164"/>
        <item x="281"/>
        <item x="176"/>
        <item x="160"/>
        <item x="168"/>
        <item x="153"/>
        <item x="244"/>
        <item x="156"/>
        <item x="221"/>
        <item x="262"/>
        <item x="193"/>
        <item x="162"/>
        <item x="211"/>
        <item x="252"/>
        <item x="228"/>
        <item x="245"/>
        <item x="277"/>
        <item x="223"/>
        <item x="188"/>
        <item x="255"/>
        <item x="258"/>
        <item x="213"/>
        <item x="217"/>
        <item x="279"/>
        <item x="254"/>
        <item x="250"/>
        <item x="269"/>
        <item x="158"/>
        <item x="157"/>
        <item x="236"/>
        <item x="200"/>
        <item x="235"/>
        <item x="141"/>
        <item x="226"/>
        <item x="275"/>
        <item x="278"/>
        <item x="212"/>
        <item x="195"/>
        <item x="276"/>
        <item x="110"/>
        <item x="194"/>
        <item x="132"/>
        <item x="224"/>
        <item x="247"/>
        <item x="109"/>
        <item x="134"/>
        <item x="234"/>
        <item x="127"/>
        <item x="218"/>
        <item x="131"/>
        <item x="202"/>
        <item x="111"/>
        <item x="148"/>
        <item x="145"/>
        <item x="135"/>
        <item x="108"/>
        <item x="230"/>
        <item x="115"/>
        <item x="259"/>
        <item x="130"/>
        <item x="122"/>
        <item x="143"/>
        <item x="203"/>
        <item x="140"/>
        <item x="215"/>
        <item x="197"/>
        <item x="175"/>
        <item x="172"/>
        <item x="123"/>
        <item x="129"/>
        <item x="146"/>
        <item x="136"/>
        <item x="144"/>
        <item x="205"/>
        <item x="180"/>
        <item x="181"/>
        <item x="239"/>
        <item x="138"/>
        <item x="246"/>
        <item x="149"/>
        <item x="173"/>
        <item x="192"/>
        <item x="126"/>
        <item x="182"/>
        <item x="271"/>
        <item x="199"/>
        <item x="169"/>
        <item x="280"/>
        <item x="147"/>
        <item x="159"/>
        <item x="174"/>
        <item x="139"/>
        <item x="214"/>
        <item x="265"/>
        <item x="151"/>
        <item x="208"/>
        <item x="201"/>
        <item x="114"/>
        <item x="256"/>
        <item x="270"/>
        <item x="233"/>
        <item x="261"/>
        <item x="163"/>
        <item x="120"/>
        <item x="242"/>
        <item x="225"/>
        <item x="107"/>
        <item x="198"/>
        <item x="237"/>
        <item x="42"/>
        <item x="44"/>
        <item x="91"/>
        <item x="11"/>
        <item x="82"/>
        <item x="17"/>
        <item x="116"/>
        <item x="89"/>
        <item x="30"/>
        <item x="55"/>
        <item x="2"/>
        <item x="128"/>
        <item x="31"/>
        <item x="28"/>
        <item x="56"/>
        <item x="273"/>
        <item x="66"/>
        <item x="100"/>
        <item x="81"/>
        <item x="113"/>
        <item x="263"/>
        <item x="39"/>
        <item x="10"/>
        <item x="142"/>
        <item x="25"/>
        <item x="79"/>
        <item x="21"/>
        <item x="165"/>
        <item x="170"/>
        <item x="119"/>
        <item x="52"/>
        <item x="53"/>
        <item x="98"/>
        <item x="121"/>
        <item x="124"/>
        <item x="101"/>
        <item x="102"/>
        <item x="206"/>
        <item x="65"/>
        <item x="106"/>
        <item x="20"/>
        <item x="117"/>
        <item x="137"/>
        <item x="61"/>
        <item x="112"/>
        <item x="83"/>
        <item x="27"/>
        <item x="257"/>
        <item x="94"/>
        <item x="133"/>
        <item x="71"/>
        <item x="74"/>
        <item x="84"/>
        <item x="210"/>
        <item x="34"/>
        <item x="59"/>
        <item x="6"/>
        <item x="76"/>
        <item x="26"/>
        <item x="5"/>
        <item x="75"/>
        <item x="41"/>
        <item x="15"/>
        <item x="37"/>
        <item x="24"/>
        <item x="69"/>
        <item x="95"/>
        <item x="178"/>
        <item x="50"/>
        <item x="47"/>
        <item x="87"/>
        <item x="77"/>
        <item x="63"/>
        <item x="96"/>
        <item x="36"/>
        <item x="105"/>
        <item x="92"/>
        <item x="68"/>
        <item x="125"/>
        <item x="93"/>
        <item x="8"/>
        <item x="268"/>
        <item x="45"/>
        <item x="46"/>
        <item x="118"/>
        <item x="14"/>
        <item x="103"/>
        <item x="13"/>
        <item x="70"/>
        <item x="104"/>
        <item x="3"/>
        <item x="51"/>
        <item x="9"/>
        <item x="60"/>
        <item x="99"/>
        <item x="80"/>
        <item x="48"/>
        <item x="86"/>
        <item x="97"/>
        <item x="43"/>
        <item x="72"/>
        <item x="38"/>
        <item x="64"/>
        <item x="78"/>
        <item x="18"/>
        <item x="73"/>
        <item x="49"/>
        <item x="90"/>
        <item x="54"/>
        <item x="88"/>
        <item x="35"/>
        <item x="58"/>
        <item x="29"/>
        <item x="19"/>
        <item x="40"/>
        <item x="85"/>
        <item x="1"/>
        <item x="67"/>
        <item x="22"/>
        <item x="0"/>
        <item x="62"/>
        <item x="16"/>
        <item x="7"/>
        <item x="12"/>
        <item x="23"/>
        <item x="57"/>
        <item x="32"/>
        <item x="274"/>
        <item t="default"/>
      </items>
    </pivotField>
    <pivotField showAll="0" defaultSubtotal="0">
      <items count="7">
        <item x="4"/>
        <item x="5"/>
        <item x="2"/>
        <item x="3"/>
        <item x="6"/>
        <item x="1"/>
        <item x="0"/>
      </items>
    </pivotField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Liczba z Nam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age brackets vs sex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21">
  <location ref="A92:D101" firstHeaderRow="1" firstDataRow="2" firstDataCol="1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/>
    <pivotField axis="axisCol" showAll="0">
      <items count="3">
        <item x="0"/>
        <item x="1"/>
        <item t="default"/>
      </items>
    </pivotField>
    <pivotField showAll="0"/>
    <pivotField axis="axisRow">
      <items count="9">
        <item x="1"/>
        <item x="0"/>
        <item x="4"/>
        <item x="2"/>
        <item x="5"/>
        <item x="3"/>
        <item x="6"/>
        <item h="1" x="7"/>
        <item t="default"/>
      </items>
    </pivotField>
    <pivotField showAll="0"/>
    <pivotField showAll="0"/>
    <pivotField showAll="0">
      <items count="10">
        <item x="0"/>
        <item x="2"/>
        <item x="3"/>
        <item x="1"/>
        <item x="5"/>
        <item x="4"/>
        <item x="6"/>
        <item x="7"/>
        <item x="8"/>
        <item t="default"/>
      </items>
    </pivotField>
    <pivotField showAll="0">
      <items count="283">
        <item x="4"/>
        <item x="251"/>
        <item x="177"/>
        <item x="33"/>
        <item x="249"/>
        <item x="238"/>
        <item x="219"/>
        <item x="222"/>
        <item x="187"/>
        <item x="216"/>
        <item x="196"/>
        <item x="204"/>
        <item x="260"/>
        <item x="184"/>
        <item x="161"/>
        <item x="220"/>
        <item x="227"/>
        <item x="241"/>
        <item x="171"/>
        <item x="154"/>
        <item x="155"/>
        <item x="185"/>
        <item x="253"/>
        <item x="190"/>
        <item x="229"/>
        <item x="150"/>
        <item x="267"/>
        <item x="240"/>
        <item x="191"/>
        <item x="152"/>
        <item x="264"/>
        <item x="183"/>
        <item x="266"/>
        <item x="189"/>
        <item x="232"/>
        <item x="207"/>
        <item x="179"/>
        <item x="166"/>
        <item x="272"/>
        <item x="243"/>
        <item x="167"/>
        <item x="248"/>
        <item x="186"/>
        <item x="231"/>
        <item x="209"/>
        <item x="164"/>
        <item x="281"/>
        <item x="176"/>
        <item x="160"/>
        <item x="168"/>
        <item x="153"/>
        <item x="244"/>
        <item x="156"/>
        <item x="221"/>
        <item x="262"/>
        <item x="193"/>
        <item x="162"/>
        <item x="211"/>
        <item x="252"/>
        <item x="228"/>
        <item x="245"/>
        <item x="277"/>
        <item x="223"/>
        <item x="188"/>
        <item x="255"/>
        <item x="258"/>
        <item x="213"/>
        <item x="217"/>
        <item x="279"/>
        <item x="254"/>
        <item x="250"/>
        <item x="269"/>
        <item x="158"/>
        <item x="157"/>
        <item x="236"/>
        <item x="200"/>
        <item x="235"/>
        <item x="141"/>
        <item x="226"/>
        <item x="275"/>
        <item x="278"/>
        <item x="212"/>
        <item x="195"/>
        <item x="276"/>
        <item x="110"/>
        <item x="194"/>
        <item x="132"/>
        <item x="224"/>
        <item x="247"/>
        <item x="109"/>
        <item x="134"/>
        <item x="234"/>
        <item x="127"/>
        <item x="218"/>
        <item x="131"/>
        <item x="202"/>
        <item x="111"/>
        <item x="148"/>
        <item x="145"/>
        <item x="135"/>
        <item x="108"/>
        <item x="230"/>
        <item x="115"/>
        <item x="259"/>
        <item x="130"/>
        <item x="122"/>
        <item x="143"/>
        <item x="203"/>
        <item x="140"/>
        <item x="215"/>
        <item x="197"/>
        <item x="175"/>
        <item x="172"/>
        <item x="123"/>
        <item x="129"/>
        <item x="146"/>
        <item x="136"/>
        <item x="144"/>
        <item x="205"/>
        <item x="180"/>
        <item x="181"/>
        <item x="239"/>
        <item x="138"/>
        <item x="246"/>
        <item x="149"/>
        <item x="173"/>
        <item x="192"/>
        <item x="126"/>
        <item x="182"/>
        <item x="271"/>
        <item x="199"/>
        <item x="169"/>
        <item x="280"/>
        <item x="147"/>
        <item x="159"/>
        <item x="174"/>
        <item x="139"/>
        <item x="214"/>
        <item x="265"/>
        <item x="151"/>
        <item x="208"/>
        <item x="201"/>
        <item x="114"/>
        <item x="256"/>
        <item x="270"/>
        <item x="233"/>
        <item x="261"/>
        <item x="163"/>
        <item x="120"/>
        <item x="242"/>
        <item x="225"/>
        <item x="107"/>
        <item x="198"/>
        <item x="237"/>
        <item x="42"/>
        <item x="44"/>
        <item x="91"/>
        <item x="11"/>
        <item x="82"/>
        <item x="17"/>
        <item x="116"/>
        <item x="89"/>
        <item x="30"/>
        <item x="55"/>
        <item x="2"/>
        <item x="128"/>
        <item x="31"/>
        <item x="28"/>
        <item x="56"/>
        <item x="273"/>
        <item x="66"/>
        <item x="100"/>
        <item x="81"/>
        <item x="113"/>
        <item x="263"/>
        <item x="39"/>
        <item x="10"/>
        <item x="142"/>
        <item x="25"/>
        <item x="79"/>
        <item x="21"/>
        <item x="165"/>
        <item x="170"/>
        <item x="119"/>
        <item x="52"/>
        <item x="53"/>
        <item x="98"/>
        <item x="121"/>
        <item x="124"/>
        <item x="101"/>
        <item x="102"/>
        <item x="206"/>
        <item x="65"/>
        <item x="106"/>
        <item x="20"/>
        <item x="117"/>
        <item x="137"/>
        <item x="61"/>
        <item x="112"/>
        <item x="83"/>
        <item x="27"/>
        <item x="257"/>
        <item x="94"/>
        <item x="133"/>
        <item x="71"/>
        <item x="74"/>
        <item x="84"/>
        <item x="210"/>
        <item x="34"/>
        <item x="59"/>
        <item x="6"/>
        <item x="76"/>
        <item x="26"/>
        <item x="5"/>
        <item x="75"/>
        <item x="41"/>
        <item x="15"/>
        <item x="37"/>
        <item x="24"/>
        <item x="69"/>
        <item x="95"/>
        <item x="178"/>
        <item x="50"/>
        <item x="47"/>
        <item x="87"/>
        <item x="77"/>
        <item x="63"/>
        <item x="96"/>
        <item x="36"/>
        <item x="105"/>
        <item x="92"/>
        <item x="68"/>
        <item x="125"/>
        <item x="93"/>
        <item x="8"/>
        <item x="268"/>
        <item x="45"/>
        <item x="46"/>
        <item x="118"/>
        <item x="14"/>
        <item x="103"/>
        <item x="13"/>
        <item x="70"/>
        <item x="104"/>
        <item x="3"/>
        <item x="51"/>
        <item x="9"/>
        <item x="60"/>
        <item x="99"/>
        <item x="80"/>
        <item x="48"/>
        <item x="86"/>
        <item x="97"/>
        <item x="43"/>
        <item x="72"/>
        <item x="38"/>
        <item x="64"/>
        <item x="78"/>
        <item x="18"/>
        <item x="73"/>
        <item x="49"/>
        <item x="90"/>
        <item x="54"/>
        <item x="88"/>
        <item x="35"/>
        <item x="58"/>
        <item x="29"/>
        <item x="19"/>
        <item x="40"/>
        <item x="85"/>
        <item x="1"/>
        <item x="67"/>
        <item x="22"/>
        <item x="0"/>
        <item x="62"/>
        <item x="16"/>
        <item x="7"/>
        <item x="12"/>
        <item x="23"/>
        <item x="57"/>
        <item x="32"/>
        <item x="274"/>
        <item t="default"/>
      </items>
    </pivotField>
    <pivotField showAll="0" defaultSubtotal="0">
      <items count="7">
        <item x="4"/>
        <item x="5"/>
        <item x="2"/>
        <item x="3"/>
        <item x="6"/>
        <item x="1"/>
        <item x="0"/>
      </items>
    </pivotField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Liczba z Name" fld="2" subtotal="count" baseField="0" baseItem="0"/>
  </dataFields>
  <chartFormats count="7"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age brackets vs por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6">
  <location ref="A22:E31" firstHeaderRow="1" firstDataRow="2" firstDataCol="1"/>
  <pivotFields count="12">
    <pivotField showAll="0">
      <items count="7">
        <item m="1" x="4"/>
        <item x="0"/>
        <item m="1" x="5"/>
        <item x="1"/>
        <item m="1" x="3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/>
    <pivotField showAll="0"/>
    <pivotField showAll="0"/>
    <pivotField axis="axisRow">
      <items count="9">
        <item x="1"/>
        <item x="0"/>
        <item x="4"/>
        <item x="2"/>
        <item x="5"/>
        <item x="3"/>
        <item x="6"/>
        <item h="1" x="7"/>
        <item t="default"/>
      </items>
    </pivotField>
    <pivotField showAll="0"/>
    <pivotField showAll="0"/>
    <pivotField showAll="0"/>
    <pivotField showAll="0"/>
    <pivotField showAll="0" defaultSubtotal="0"/>
    <pivotField axis="axisCol" showAll="0">
      <items count="6">
        <item x="1"/>
        <item x="3"/>
        <item x="0"/>
        <item h="1" m="1" x="4"/>
        <item h="1" x="2"/>
        <item t="default"/>
      </items>
    </pivotField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Liczba z Name" fld="2" subtotal="count" baseField="0" baseItem="0"/>
  </dataFields>
  <chartFormats count="10">
    <chartFormat chart="2" format="7" series="1">
      <pivotArea type="data" outline="0" fieldPosition="0">
        <references count="1">
          <reference field="11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11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11" count="1" selected="0">
            <x v="2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5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survived percen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5">
  <location ref="A44:C47" firstHeaderRow="0" firstDataRow="1" firstDataCol="1"/>
  <pivotFields count="12">
    <pivotField showAll="0"/>
    <pivotField axis="axisRow" dataField="1" showAll="0">
      <items count="5">
        <item n="no" m="1" x="2"/>
        <item n="yes" m="1" x="3"/>
        <item x="1"/>
        <item x="0"/>
        <item t="default"/>
      </items>
    </pivotField>
    <pivotField dataField="1" showAll="0"/>
    <pivotField showAll="0"/>
    <pivotField showAll="0"/>
    <pivotField/>
    <pivotField showAll="0"/>
    <pivotField showAll="0"/>
    <pivotField showAll="0"/>
    <pivotField showAll="0"/>
    <pivotField showAll="0" defaultSubtotal="0"/>
    <pivotField showAll="0"/>
  </pivotFields>
  <rowFields count="1">
    <field x="1"/>
  </rowFields>
  <rowItems count="3"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z Name" fld="2" subtotal="count" baseField="0" baseItem="0"/>
    <dataField name="Liczba z Survived?" fld="1" subtotal="count" showDataAs="percentOfTotal" baseField="0" baseItem="0" numFmtId="10"/>
  </dataFields>
  <chartFormats count="8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4" format="35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age brackets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1">
  <location ref="A3:B11" firstHeaderRow="1" firstDataRow="1" firstDataCol="1"/>
  <pivotFields count="12">
    <pivotField showAll="0">
      <items count="7">
        <item m="1" x="4"/>
        <item x="0"/>
        <item m="1" x="5"/>
        <item x="1"/>
        <item m="1" x="3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/>
    <pivotField showAll="0"/>
    <pivotField showAll="0"/>
    <pivotField axis="axisRow">
      <items count="9">
        <item x="1"/>
        <item x="0"/>
        <item x="4"/>
        <item x="2"/>
        <item x="5"/>
        <item x="3"/>
        <item x="6"/>
        <item h="1" x="7"/>
        <item t="default"/>
      </items>
    </pivotField>
    <pivotField showAll="0"/>
    <pivotField showAll="0"/>
    <pivotField showAll="0"/>
    <pivotField showAll="0"/>
    <pivotField showAll="0" defaultSubtota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Liczba z Name" fld="2" subtotal="count" baseField="0" baseItem="0"/>
  </dataFields>
  <chartFormats count="2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sex percen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9">
  <location ref="A67:C70" firstHeaderRow="0" firstDataRow="1" firstDataCol="1"/>
  <pivotFields count="12">
    <pivotField showAll="0"/>
    <pivotField showAll="0">
      <items count="5">
        <item n="no" m="1" x="2"/>
        <item n="yes" m="1" x="3"/>
        <item x="1"/>
        <item x="0"/>
        <item t="default"/>
      </items>
    </pivotField>
    <pivotField dataField="1" showAll="0"/>
    <pivotField axis="axisRow" dataField="1" showAll="0">
      <items count="3">
        <item x="1"/>
        <item x="0"/>
        <item t="default"/>
      </items>
    </pivotField>
    <pivotField showAll="0"/>
    <pivotField/>
    <pivotField showAll="0"/>
    <pivotField showAll="0"/>
    <pivotField showAll="0"/>
    <pivotField showAll="0"/>
    <pivotField showAll="0" defaultSubtota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z Name" fld="2" subtotal="count" baseField="0" baseItem="0"/>
    <dataField name="Liczba z Sex" fld="3" subtotal="count" showDataAs="percentOfTotal" baseField="0" baseItem="0" numFmtId="10"/>
  </dataFields>
  <chartFormats count="9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ort vs fare bracke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25">
  <location ref="A140:E149" firstHeaderRow="1" firstDataRow="2" firstDataCol="1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>
      <items count="1308">
        <item x="600"/>
        <item x="601"/>
        <item x="602"/>
        <item x="603"/>
        <item x="604"/>
        <item x="605"/>
        <item x="323"/>
        <item x="324"/>
        <item x="606"/>
        <item x="607"/>
        <item x="608"/>
        <item x="609"/>
        <item x="610"/>
        <item x="611"/>
        <item x="612"/>
        <item x="613"/>
        <item x="325"/>
        <item x="614"/>
        <item x="615"/>
        <item x="616"/>
        <item x="617"/>
        <item x="0"/>
        <item x="618"/>
        <item x="1"/>
        <item x="2"/>
        <item x="3"/>
        <item x="4"/>
        <item x="619"/>
        <item x="620"/>
        <item x="621"/>
        <item x="5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326"/>
        <item x="327"/>
        <item x="6"/>
        <item x="7"/>
        <item x="634"/>
        <item x="328"/>
        <item x="329"/>
        <item x="8"/>
        <item x="635"/>
        <item x="636"/>
        <item x="637"/>
        <item x="9"/>
        <item x="330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10"/>
        <item x="11"/>
        <item x="650"/>
        <item x="651"/>
        <item x="12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331"/>
        <item x="332"/>
        <item x="663"/>
        <item x="333"/>
        <item x="334"/>
        <item x="664"/>
        <item x="665"/>
        <item x="666"/>
        <item x="13"/>
        <item x="14"/>
        <item x="667"/>
        <item x="668"/>
        <item x="335"/>
        <item x="15"/>
        <item x="16"/>
        <item x="17"/>
        <item x="18"/>
        <item x="336"/>
        <item x="337"/>
        <item x="19"/>
        <item x="338"/>
        <item x="669"/>
        <item x="339"/>
        <item x="340"/>
        <item x="341"/>
        <item x="342"/>
        <item x="20"/>
        <item x="21"/>
        <item x="343"/>
        <item x="22"/>
        <item x="670"/>
        <item x="344"/>
        <item x="671"/>
        <item x="345"/>
        <item x="672"/>
        <item x="673"/>
        <item x="23"/>
        <item x="674"/>
        <item x="24"/>
        <item x="675"/>
        <item x="25"/>
        <item x="26"/>
        <item x="27"/>
        <item x="28"/>
        <item x="676"/>
        <item x="29"/>
        <item x="30"/>
        <item x="31"/>
        <item x="32"/>
        <item x="33"/>
        <item x="34"/>
        <item x="677"/>
        <item x="346"/>
        <item x="678"/>
        <item x="679"/>
        <item x="680"/>
        <item x="681"/>
        <item x="682"/>
        <item x="683"/>
        <item x="684"/>
        <item x="35"/>
        <item x="685"/>
        <item x="347"/>
        <item x="36"/>
        <item x="348"/>
        <item x="686"/>
        <item x="37"/>
        <item x="38"/>
        <item x="687"/>
        <item x="39"/>
        <item x="688"/>
        <item x="689"/>
        <item x="40"/>
        <item x="690"/>
        <item x="691"/>
        <item x="349"/>
        <item x="350"/>
        <item x="351"/>
        <item x="41"/>
        <item x="42"/>
        <item x="352"/>
        <item x="353"/>
        <item x="354"/>
        <item x="692"/>
        <item x="693"/>
        <item x="43"/>
        <item x="694"/>
        <item x="44"/>
        <item x="695"/>
        <item x="355"/>
        <item x="356"/>
        <item x="45"/>
        <item x="357"/>
        <item x="358"/>
        <item x="696"/>
        <item x="697"/>
        <item x="698"/>
        <item x="699"/>
        <item x="46"/>
        <item x="47"/>
        <item x="359"/>
        <item x="360"/>
        <item x="361"/>
        <item x="700"/>
        <item x="701"/>
        <item x="362"/>
        <item x="363"/>
        <item x="702"/>
        <item x="703"/>
        <item x="48"/>
        <item x="704"/>
        <item x="705"/>
        <item x="706"/>
        <item x="364"/>
        <item x="49"/>
        <item x="50"/>
        <item x="707"/>
        <item x="708"/>
        <item x="51"/>
        <item x="709"/>
        <item x="710"/>
        <item x="52"/>
        <item x="53"/>
        <item x="54"/>
        <item x="55"/>
        <item x="56"/>
        <item x="365"/>
        <item x="57"/>
        <item x="366"/>
        <item x="711"/>
        <item x="58"/>
        <item x="59"/>
        <item x="60"/>
        <item x="61"/>
        <item x="712"/>
        <item x="62"/>
        <item x="63"/>
        <item x="64"/>
        <item x="65"/>
        <item x="367"/>
        <item x="368"/>
        <item x="369"/>
        <item x="713"/>
        <item x="66"/>
        <item x="67"/>
        <item x="68"/>
        <item x="69"/>
        <item x="714"/>
        <item x="70"/>
        <item x="715"/>
        <item x="370"/>
        <item x="371"/>
        <item x="716"/>
        <item x="717"/>
        <item x="71"/>
        <item x="72"/>
        <item x="372"/>
        <item x="373"/>
        <item x="73"/>
        <item x="74"/>
        <item x="718"/>
        <item x="719"/>
        <item x="720"/>
        <item x="721"/>
        <item x="722"/>
        <item x="374"/>
        <item x="375"/>
        <item x="376"/>
        <item x="75"/>
        <item x="377"/>
        <item x="378"/>
        <item x="379"/>
        <item x="76"/>
        <item x="77"/>
        <item x="78"/>
        <item x="723"/>
        <item x="724"/>
        <item x="725"/>
        <item x="726"/>
        <item x="727"/>
        <item x="380"/>
        <item x="728"/>
        <item x="729"/>
        <item x="730"/>
        <item x="381"/>
        <item x="382"/>
        <item x="731"/>
        <item x="79"/>
        <item x="383"/>
        <item x="732"/>
        <item x="733"/>
        <item x="734"/>
        <item x="735"/>
        <item x="80"/>
        <item x="736"/>
        <item x="737"/>
        <item x="738"/>
        <item x="81"/>
        <item x="82"/>
        <item x="83"/>
        <item x="739"/>
        <item x="84"/>
        <item x="85"/>
        <item x="384"/>
        <item x="740"/>
        <item x="741"/>
        <item x="742"/>
        <item x="743"/>
        <item x="744"/>
        <item x="745"/>
        <item x="86"/>
        <item x="746"/>
        <item x="747"/>
        <item x="748"/>
        <item x="87"/>
        <item x="88"/>
        <item x="749"/>
        <item x="750"/>
        <item x="89"/>
        <item x="90"/>
        <item x="385"/>
        <item x="751"/>
        <item x="386"/>
        <item x="752"/>
        <item x="753"/>
        <item x="754"/>
        <item x="387"/>
        <item x="388"/>
        <item x="755"/>
        <item x="756"/>
        <item x="389"/>
        <item x="757"/>
        <item x="758"/>
        <item x="759"/>
        <item x="760"/>
        <item x="390"/>
        <item x="761"/>
        <item x="762"/>
        <item x="763"/>
        <item x="764"/>
        <item x="391"/>
        <item x="392"/>
        <item x="765"/>
        <item x="766"/>
        <item x="393"/>
        <item x="767"/>
        <item x="768"/>
        <item x="769"/>
        <item x="770"/>
        <item x="394"/>
        <item x="91"/>
        <item x="92"/>
        <item x="771"/>
        <item x="772"/>
        <item x="773"/>
        <item x="93"/>
        <item x="94"/>
        <item x="95"/>
        <item x="774"/>
        <item x="395"/>
        <item x="396"/>
        <item x="775"/>
        <item x="776"/>
        <item x="96"/>
        <item x="97"/>
        <item x="98"/>
        <item x="777"/>
        <item x="397"/>
        <item x="778"/>
        <item x="779"/>
        <item x="780"/>
        <item x="398"/>
        <item x="399"/>
        <item x="400"/>
        <item x="781"/>
        <item x="99"/>
        <item x="100"/>
        <item x="101"/>
        <item x="782"/>
        <item x="401"/>
        <item x="402"/>
        <item x="783"/>
        <item x="784"/>
        <item x="102"/>
        <item x="785"/>
        <item x="403"/>
        <item x="786"/>
        <item x="787"/>
        <item x="788"/>
        <item x="789"/>
        <item x="790"/>
        <item x="791"/>
        <item x="792"/>
        <item x="793"/>
        <item x="794"/>
        <item x="404"/>
        <item x="103"/>
        <item x="104"/>
        <item x="105"/>
        <item x="795"/>
        <item x="405"/>
        <item x="796"/>
        <item x="106"/>
        <item x="406"/>
        <item x="407"/>
        <item x="408"/>
        <item x="797"/>
        <item x="798"/>
        <item x="107"/>
        <item x="799"/>
        <item x="108"/>
        <item x="800"/>
        <item x="801"/>
        <item x="109"/>
        <item x="802"/>
        <item x="803"/>
        <item x="804"/>
        <item x="805"/>
        <item x="806"/>
        <item x="807"/>
        <item x="808"/>
        <item x="809"/>
        <item x="810"/>
        <item x="110"/>
        <item x="111"/>
        <item x="112"/>
        <item x="113"/>
        <item x="114"/>
        <item x="115"/>
        <item x="116"/>
        <item x="811"/>
        <item x="409"/>
        <item x="117"/>
        <item x="812"/>
        <item x="118"/>
        <item x="119"/>
        <item x="120"/>
        <item x="121"/>
        <item x="122"/>
        <item x="123"/>
        <item x="124"/>
        <item x="410"/>
        <item x="125"/>
        <item x="411"/>
        <item x="126"/>
        <item x="127"/>
        <item x="412"/>
        <item x="413"/>
        <item x="414"/>
        <item x="813"/>
        <item x="814"/>
        <item x="415"/>
        <item x="416"/>
        <item x="417"/>
        <item x="128"/>
        <item x="129"/>
        <item x="815"/>
        <item x="130"/>
        <item x="131"/>
        <item x="132"/>
        <item x="418"/>
        <item x="419"/>
        <item x="420"/>
        <item x="421"/>
        <item x="816"/>
        <item x="422"/>
        <item x="423"/>
        <item x="817"/>
        <item x="424"/>
        <item x="818"/>
        <item x="133"/>
        <item x="134"/>
        <item x="135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136"/>
        <item x="137"/>
        <item x="138"/>
        <item x="139"/>
        <item x="832"/>
        <item x="425"/>
        <item x="140"/>
        <item x="141"/>
        <item x="833"/>
        <item x="834"/>
        <item x="142"/>
        <item x="835"/>
        <item x="836"/>
        <item x="837"/>
        <item x="838"/>
        <item x="839"/>
        <item x="840"/>
        <item x="841"/>
        <item x="842"/>
        <item x="843"/>
        <item x="844"/>
        <item x="426"/>
        <item x="427"/>
        <item x="428"/>
        <item x="845"/>
        <item x="846"/>
        <item x="847"/>
        <item x="848"/>
        <item x="849"/>
        <item x="850"/>
        <item x="429"/>
        <item x="143"/>
        <item x="144"/>
        <item x="851"/>
        <item x="852"/>
        <item x="430"/>
        <item x="145"/>
        <item x="146"/>
        <item x="431"/>
        <item x="147"/>
        <item x="432"/>
        <item x="148"/>
        <item x="433"/>
        <item x="149"/>
        <item x="150"/>
        <item x="434"/>
        <item x="435"/>
        <item x="853"/>
        <item x="436"/>
        <item x="151"/>
        <item x="854"/>
        <item x="152"/>
        <item x="153"/>
        <item x="154"/>
        <item x="155"/>
        <item x="156"/>
        <item x="855"/>
        <item x="856"/>
        <item x="857"/>
        <item x="858"/>
        <item x="859"/>
        <item x="860"/>
        <item x="861"/>
        <item x="862"/>
        <item x="863"/>
        <item x="864"/>
        <item x="437"/>
        <item x="438"/>
        <item x="439"/>
        <item x="440"/>
        <item x="441"/>
        <item x="442"/>
        <item x="443"/>
        <item x="444"/>
        <item x="157"/>
        <item x="445"/>
        <item x="158"/>
        <item x="159"/>
        <item x="160"/>
        <item x="865"/>
        <item x="866"/>
        <item x="446"/>
        <item x="447"/>
        <item x="448"/>
        <item x="449"/>
        <item x="450"/>
        <item x="161"/>
        <item x="451"/>
        <item x="452"/>
        <item x="867"/>
        <item x="868"/>
        <item x="162"/>
        <item x="163"/>
        <item x="164"/>
        <item x="869"/>
        <item x="453"/>
        <item x="870"/>
        <item x="454"/>
        <item x="871"/>
        <item x="455"/>
        <item x="456"/>
        <item x="165"/>
        <item x="166"/>
        <item x="167"/>
        <item x="872"/>
        <item x="457"/>
        <item x="873"/>
        <item x="874"/>
        <item x="168"/>
        <item x="458"/>
        <item x="875"/>
        <item x="876"/>
        <item x="877"/>
        <item x="169"/>
        <item x="170"/>
        <item x="878"/>
        <item x="459"/>
        <item x="460"/>
        <item x="879"/>
        <item x="880"/>
        <item x="881"/>
        <item x="461"/>
        <item x="462"/>
        <item x="463"/>
        <item x="464"/>
        <item x="882"/>
        <item x="883"/>
        <item x="884"/>
        <item x="885"/>
        <item x="46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171"/>
        <item x="903"/>
        <item x="904"/>
        <item x="905"/>
        <item x="172"/>
        <item x="906"/>
        <item x="907"/>
        <item x="908"/>
        <item x="909"/>
        <item x="910"/>
        <item x="466"/>
        <item x="467"/>
        <item x="911"/>
        <item x="912"/>
        <item x="913"/>
        <item x="914"/>
        <item x="468"/>
        <item x="915"/>
        <item x="916"/>
        <item x="917"/>
        <item x="918"/>
        <item x="469"/>
        <item x="919"/>
        <item x="470"/>
        <item x="920"/>
        <item x="173"/>
        <item x="921"/>
        <item x="922"/>
        <item x="923"/>
        <item x="471"/>
        <item x="924"/>
        <item x="174"/>
        <item x="175"/>
        <item x="176"/>
        <item x="925"/>
        <item x="926"/>
        <item x="927"/>
        <item x="928"/>
        <item x="929"/>
        <item x="177"/>
        <item x="178"/>
        <item x="930"/>
        <item x="931"/>
        <item x="932"/>
        <item x="933"/>
        <item x="934"/>
        <item x="472"/>
        <item x="179"/>
        <item x="935"/>
        <item x="936"/>
        <item x="937"/>
        <item x="473"/>
        <item x="938"/>
        <item x="939"/>
        <item x="180"/>
        <item x="474"/>
        <item x="940"/>
        <item x="475"/>
        <item x="476"/>
        <item x="941"/>
        <item x="942"/>
        <item x="943"/>
        <item x="944"/>
        <item x="477"/>
        <item x="945"/>
        <item x="946"/>
        <item x="947"/>
        <item x="478"/>
        <item x="479"/>
        <item x="480"/>
        <item x="481"/>
        <item x="948"/>
        <item x="949"/>
        <item x="950"/>
        <item x="181"/>
        <item x="951"/>
        <item x="952"/>
        <item x="953"/>
        <item x="954"/>
        <item x="955"/>
        <item x="956"/>
        <item x="482"/>
        <item x="957"/>
        <item x="483"/>
        <item x="958"/>
        <item x="484"/>
        <item x="959"/>
        <item x="960"/>
        <item x="961"/>
        <item x="182"/>
        <item x="962"/>
        <item x="183"/>
        <item x="485"/>
        <item x="184"/>
        <item x="486"/>
        <item x="963"/>
        <item x="964"/>
        <item x="965"/>
        <item x="185"/>
        <item x="966"/>
        <item x="967"/>
        <item x="968"/>
        <item x="186"/>
        <item x="969"/>
        <item x="187"/>
        <item x="188"/>
        <item x="970"/>
        <item x="487"/>
        <item x="971"/>
        <item x="972"/>
        <item x="973"/>
        <item x="974"/>
        <item x="189"/>
        <item x="190"/>
        <item x="191"/>
        <item x="488"/>
        <item x="489"/>
        <item x="975"/>
        <item x="976"/>
        <item x="977"/>
        <item x="978"/>
        <item x="979"/>
        <item x="192"/>
        <item x="980"/>
        <item x="490"/>
        <item x="981"/>
        <item x="982"/>
        <item x="193"/>
        <item x="983"/>
        <item x="984"/>
        <item x="194"/>
        <item x="985"/>
        <item x="986"/>
        <item x="195"/>
        <item x="987"/>
        <item x="988"/>
        <item x="491"/>
        <item x="492"/>
        <item x="493"/>
        <item x="494"/>
        <item x="989"/>
        <item x="990"/>
        <item x="495"/>
        <item x="991"/>
        <item x="992"/>
        <item x="196"/>
        <item x="993"/>
        <item x="994"/>
        <item x="197"/>
        <item x="198"/>
        <item x="995"/>
        <item x="996"/>
        <item x="496"/>
        <item x="497"/>
        <item x="199"/>
        <item x="200"/>
        <item x="997"/>
        <item x="201"/>
        <item x="998"/>
        <item x="999"/>
        <item x="1000"/>
        <item x="1001"/>
        <item x="498"/>
        <item x="499"/>
        <item x="1002"/>
        <item x="1003"/>
        <item x="202"/>
        <item x="1004"/>
        <item x="1005"/>
        <item x="1006"/>
        <item x="500"/>
        <item x="1007"/>
        <item x="1008"/>
        <item x="1009"/>
        <item x="1010"/>
        <item x="1011"/>
        <item x="1012"/>
        <item x="501"/>
        <item x="502"/>
        <item x="503"/>
        <item x="1013"/>
        <item x="1014"/>
        <item x="504"/>
        <item x="203"/>
        <item x="204"/>
        <item x="1015"/>
        <item x="1016"/>
        <item x="205"/>
        <item x="505"/>
        <item x="206"/>
        <item x="207"/>
        <item x="208"/>
        <item x="1017"/>
        <item x="1018"/>
        <item x="1019"/>
        <item x="506"/>
        <item x="1020"/>
        <item x="209"/>
        <item x="1021"/>
        <item x="1022"/>
        <item x="210"/>
        <item x="507"/>
        <item x="1023"/>
        <item x="1024"/>
        <item x="211"/>
        <item x="1025"/>
        <item x="1026"/>
        <item x="1027"/>
        <item x="1028"/>
        <item x="508"/>
        <item x="509"/>
        <item x="1029"/>
        <item x="1030"/>
        <item x="1031"/>
        <item x="1032"/>
        <item x="1033"/>
        <item x="1034"/>
        <item x="1035"/>
        <item x="1036"/>
        <item x="510"/>
        <item x="1037"/>
        <item x="1038"/>
        <item x="1039"/>
        <item x="1040"/>
        <item x="1041"/>
        <item x="1042"/>
        <item x="1043"/>
        <item x="511"/>
        <item x="1044"/>
        <item x="1045"/>
        <item x="1046"/>
        <item x="1047"/>
        <item x="1048"/>
        <item x="1049"/>
        <item x="1050"/>
        <item x="1051"/>
        <item x="512"/>
        <item x="513"/>
        <item x="212"/>
        <item x="1052"/>
        <item x="514"/>
        <item x="515"/>
        <item x="516"/>
        <item x="1053"/>
        <item x="517"/>
        <item x="213"/>
        <item x="214"/>
        <item x="215"/>
        <item x="216"/>
        <item x="518"/>
        <item x="217"/>
        <item x="1054"/>
        <item x="1055"/>
        <item x="1056"/>
        <item x="1057"/>
        <item x="1058"/>
        <item x="1059"/>
        <item x="1060"/>
        <item x="1061"/>
        <item x="1062"/>
        <item x="519"/>
        <item x="1063"/>
        <item x="520"/>
        <item x="1064"/>
        <item x="521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218"/>
        <item x="1080"/>
        <item x="1081"/>
        <item x="1082"/>
        <item x="1083"/>
        <item x="1084"/>
        <item x="1085"/>
        <item x="1086"/>
        <item x="1087"/>
        <item x="219"/>
        <item x="1088"/>
        <item x="1089"/>
        <item x="1090"/>
        <item x="1091"/>
        <item x="1092"/>
        <item x="220"/>
        <item x="221"/>
        <item x="1093"/>
        <item x="522"/>
        <item x="222"/>
        <item x="523"/>
        <item x="524"/>
        <item x="525"/>
        <item x="526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527"/>
        <item x="528"/>
        <item x="223"/>
        <item x="529"/>
        <item x="224"/>
        <item x="1105"/>
        <item x="1106"/>
        <item x="1107"/>
        <item x="1108"/>
        <item x="225"/>
        <item x="1109"/>
        <item x="1110"/>
        <item x="1111"/>
        <item x="1112"/>
        <item x="226"/>
        <item x="227"/>
        <item x="1113"/>
        <item x="1114"/>
        <item x="1115"/>
        <item x="1116"/>
        <item x="228"/>
        <item x="229"/>
        <item x="530"/>
        <item x="1117"/>
        <item x="531"/>
        <item x="230"/>
        <item x="1118"/>
        <item x="532"/>
        <item x="1119"/>
        <item x="1120"/>
        <item x="1121"/>
        <item x="1122"/>
        <item x="1123"/>
        <item x="1124"/>
        <item x="1125"/>
        <item x="1126"/>
        <item x="1127"/>
        <item x="1128"/>
        <item x="231"/>
        <item x="533"/>
        <item x="534"/>
        <item x="535"/>
        <item x="1129"/>
        <item x="536"/>
        <item x="1130"/>
        <item x="1131"/>
        <item x="1132"/>
        <item x="537"/>
        <item x="538"/>
        <item x="232"/>
        <item x="233"/>
        <item x="539"/>
        <item x="540"/>
        <item x="541"/>
        <item x="542"/>
        <item x="1133"/>
        <item x="1134"/>
        <item x="1135"/>
        <item x="1136"/>
        <item x="543"/>
        <item x="1137"/>
        <item x="544"/>
        <item x="545"/>
        <item x="234"/>
        <item x="546"/>
        <item x="1138"/>
        <item x="235"/>
        <item x="1139"/>
        <item x="1140"/>
        <item x="1141"/>
        <item x="1142"/>
        <item x="1143"/>
        <item x="1144"/>
        <item x="547"/>
        <item x="548"/>
        <item x="549"/>
        <item x="550"/>
        <item x="551"/>
        <item x="1145"/>
        <item x="236"/>
        <item x="1146"/>
        <item x="1147"/>
        <item x="1148"/>
        <item x="1149"/>
        <item x="237"/>
        <item x="238"/>
        <item x="1150"/>
        <item x="1151"/>
        <item x="239"/>
        <item x="552"/>
        <item x="1152"/>
        <item x="240"/>
        <item x="1153"/>
        <item x="241"/>
        <item x="1154"/>
        <item x="1155"/>
        <item x="1156"/>
        <item x="242"/>
        <item x="243"/>
        <item x="244"/>
        <item x="1157"/>
        <item x="245"/>
        <item x="246"/>
        <item x="247"/>
        <item x="1158"/>
        <item x="248"/>
        <item x="553"/>
        <item x="1159"/>
        <item x="1160"/>
        <item x="1161"/>
        <item x="249"/>
        <item x="250"/>
        <item x="251"/>
        <item x="252"/>
        <item x="253"/>
        <item x="1162"/>
        <item x="1163"/>
        <item x="1164"/>
        <item x="25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255"/>
        <item x="1179"/>
        <item x="1180"/>
        <item x="256"/>
        <item x="1181"/>
        <item x="1182"/>
        <item x="1183"/>
        <item x="1184"/>
        <item x="1185"/>
        <item x="1187"/>
        <item x="1186"/>
        <item x="1188"/>
        <item x="1189"/>
        <item x="1190"/>
        <item x="1191"/>
        <item x="257"/>
        <item x="554"/>
        <item x="1192"/>
        <item x="555"/>
        <item x="258"/>
        <item x="259"/>
        <item x="556"/>
        <item x="1193"/>
        <item x="1194"/>
        <item x="1195"/>
        <item x="557"/>
        <item x="1196"/>
        <item x="1197"/>
        <item x="260"/>
        <item x="558"/>
        <item x="261"/>
        <item x="262"/>
        <item x="263"/>
        <item x="1198"/>
        <item x="264"/>
        <item x="559"/>
        <item x="560"/>
        <item x="1199"/>
        <item x="1200"/>
        <item x="1201"/>
        <item x="1202"/>
        <item x="1203"/>
        <item x="561"/>
        <item x="1204"/>
        <item x="1205"/>
        <item x="1206"/>
        <item x="1207"/>
        <item x="1208"/>
        <item x="1209"/>
        <item x="1210"/>
        <item x="562"/>
        <item x="563"/>
        <item x="1211"/>
        <item x="265"/>
        <item x="266"/>
        <item x="1212"/>
        <item x="564"/>
        <item x="267"/>
        <item x="268"/>
        <item x="269"/>
        <item x="1213"/>
        <item x="270"/>
        <item x="1214"/>
        <item x="271"/>
        <item x="272"/>
        <item x="565"/>
        <item x="1215"/>
        <item x="1216"/>
        <item x="1217"/>
        <item x="273"/>
        <item x="274"/>
        <item x="275"/>
        <item x="276"/>
        <item x="277"/>
        <item x="1218"/>
        <item x="278"/>
        <item x="1219"/>
        <item x="1220"/>
        <item x="1221"/>
        <item x="1222"/>
        <item x="566"/>
        <item x="279"/>
        <item x="280"/>
        <item x="281"/>
        <item x="282"/>
        <item x="283"/>
        <item x="567"/>
        <item x="284"/>
        <item x="1223"/>
        <item x="1224"/>
        <item x="1225"/>
        <item x="1226"/>
        <item x="285"/>
        <item x="286"/>
        <item x="1227"/>
        <item x="1228"/>
        <item x="1229"/>
        <item x="1230"/>
        <item x="1231"/>
        <item x="1232"/>
        <item x="287"/>
        <item x="1233"/>
        <item x="1234"/>
        <item x="1235"/>
        <item x="568"/>
        <item x="569"/>
        <item x="288"/>
        <item x="289"/>
        <item x="290"/>
        <item x="291"/>
        <item x="292"/>
        <item x="293"/>
        <item x="1236"/>
        <item x="294"/>
        <item x="295"/>
        <item x="296"/>
        <item x="1237"/>
        <item x="1238"/>
        <item x="1239"/>
        <item x="1240"/>
        <item x="1241"/>
        <item x="1242"/>
        <item x="1243"/>
        <item x="297"/>
        <item x="1244"/>
        <item x="1245"/>
        <item x="1246"/>
        <item x="1247"/>
        <item x="1248"/>
        <item x="1249"/>
        <item x="570"/>
        <item x="1250"/>
        <item x="1251"/>
        <item x="1252"/>
        <item x="1253"/>
        <item x="1254"/>
        <item x="1255"/>
        <item x="1256"/>
        <item x="571"/>
        <item x="572"/>
        <item x="573"/>
        <item x="298"/>
        <item x="1257"/>
        <item x="1258"/>
        <item x="1259"/>
        <item x="574"/>
        <item x="575"/>
        <item x="299"/>
        <item x="1260"/>
        <item x="1261"/>
        <item x="1262"/>
        <item x="300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576"/>
        <item x="1276"/>
        <item x="1277"/>
        <item x="1278"/>
        <item x="1279"/>
        <item x="577"/>
        <item x="301"/>
        <item x="302"/>
        <item x="1280"/>
        <item x="578"/>
        <item x="579"/>
        <item x="580"/>
        <item x="1281"/>
        <item x="303"/>
        <item x="304"/>
        <item x="581"/>
        <item x="582"/>
        <item x="583"/>
        <item x="584"/>
        <item x="1282"/>
        <item x="305"/>
        <item x="585"/>
        <item x="586"/>
        <item x="587"/>
        <item x="588"/>
        <item x="589"/>
        <item x="1283"/>
        <item x="590"/>
        <item x="591"/>
        <item x="592"/>
        <item x="593"/>
        <item x="1284"/>
        <item x="594"/>
        <item x="595"/>
        <item x="306"/>
        <item x="307"/>
        <item x="308"/>
        <item x="309"/>
        <item x="310"/>
        <item x="311"/>
        <item x="1285"/>
        <item x="312"/>
        <item x="313"/>
        <item x="314"/>
        <item x="1286"/>
        <item x="1287"/>
        <item x="596"/>
        <item x="1288"/>
        <item x="315"/>
        <item x="1289"/>
        <item x="1290"/>
        <item x="316"/>
        <item x="597"/>
        <item x="1291"/>
        <item x="1292"/>
        <item x="317"/>
        <item x="318"/>
        <item x="319"/>
        <item x="1293"/>
        <item x="1294"/>
        <item x="1295"/>
        <item x="1296"/>
        <item x="320"/>
        <item x="598"/>
        <item x="321"/>
        <item x="1297"/>
        <item x="1298"/>
        <item x="322"/>
        <item x="1299"/>
        <item x="1300"/>
        <item x="1301"/>
        <item x="599"/>
        <item x="1302"/>
        <item x="1303"/>
        <item x="1304"/>
        <item x="1305"/>
        <item x="1306"/>
        <item t="default"/>
      </items>
    </pivotField>
    <pivotField showAll="0"/>
    <pivotField showAll="0"/>
    <pivotField>
      <items count="9">
        <item x="1"/>
        <item x="0"/>
        <item x="4"/>
        <item x="2"/>
        <item x="5"/>
        <item x="3"/>
        <item x="6"/>
        <item x="7"/>
        <item t="default"/>
      </items>
    </pivotField>
    <pivotField showAll="0"/>
    <pivotField showAll="0"/>
    <pivotField showAll="0">
      <items count="10">
        <item x="0"/>
        <item x="2"/>
        <item x="3"/>
        <item x="1"/>
        <item x="5"/>
        <item x="4"/>
        <item x="6"/>
        <item x="7"/>
        <item x="8"/>
        <item t="default"/>
      </items>
    </pivotField>
    <pivotField showAll="0"/>
    <pivotField axis="axisRow" defaultSubtotal="0">
      <items count="7">
        <item x="4"/>
        <item x="5"/>
        <item x="2"/>
        <item x="3"/>
        <item x="6"/>
        <item x="1"/>
        <item x="0"/>
      </items>
    </pivotField>
    <pivotField axis="axisCol" showAll="0">
      <items count="6">
        <item x="1"/>
        <item x="3"/>
        <item x="0"/>
        <item h="1" x="2"/>
        <item h="1" m="1" x="4"/>
        <item t="default"/>
      </items>
    </pivotField>
  </pivotFields>
  <rowFields count="1">
    <field x="1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Liczba z Name" fld="2" subtotal="count" baseField="0" baseItem="0"/>
  </dataFields>
  <chartFormats count="6">
    <chartFormat chart="21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1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1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4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4" format="1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4" format="1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fare sum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7">
  <location ref="A106:A107" firstHeaderRow="1" firstDataRow="1" firstDataCol="0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showAll="0">
      <items count="1308">
        <item x="600"/>
        <item x="601"/>
        <item x="602"/>
        <item x="603"/>
        <item x="604"/>
        <item x="605"/>
        <item x="323"/>
        <item x="324"/>
        <item x="606"/>
        <item x="607"/>
        <item x="608"/>
        <item x="609"/>
        <item x="610"/>
        <item x="611"/>
        <item x="612"/>
        <item x="613"/>
        <item x="325"/>
        <item x="614"/>
        <item x="615"/>
        <item x="616"/>
        <item x="617"/>
        <item x="0"/>
        <item x="618"/>
        <item x="1"/>
        <item x="2"/>
        <item x="3"/>
        <item x="4"/>
        <item x="619"/>
        <item x="620"/>
        <item x="621"/>
        <item x="5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326"/>
        <item x="327"/>
        <item x="6"/>
        <item x="7"/>
        <item x="634"/>
        <item x="328"/>
        <item x="329"/>
        <item x="8"/>
        <item x="635"/>
        <item x="636"/>
        <item x="637"/>
        <item x="9"/>
        <item x="330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10"/>
        <item x="11"/>
        <item x="650"/>
        <item x="651"/>
        <item x="12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331"/>
        <item x="332"/>
        <item x="663"/>
        <item x="333"/>
        <item x="334"/>
        <item x="664"/>
        <item x="665"/>
        <item x="666"/>
        <item x="13"/>
        <item x="14"/>
        <item x="667"/>
        <item x="668"/>
        <item x="335"/>
        <item x="15"/>
        <item x="16"/>
        <item x="17"/>
        <item x="18"/>
        <item x="336"/>
        <item x="337"/>
        <item x="19"/>
        <item x="338"/>
        <item x="669"/>
        <item x="339"/>
        <item x="340"/>
        <item x="341"/>
        <item x="342"/>
        <item x="20"/>
        <item x="21"/>
        <item x="343"/>
        <item x="22"/>
        <item x="670"/>
        <item x="344"/>
        <item x="671"/>
        <item x="345"/>
        <item x="672"/>
        <item x="673"/>
        <item x="23"/>
        <item x="674"/>
        <item x="24"/>
        <item x="675"/>
        <item x="25"/>
        <item x="26"/>
        <item x="27"/>
        <item x="28"/>
        <item x="676"/>
        <item x="29"/>
        <item x="30"/>
        <item x="31"/>
        <item x="32"/>
        <item x="33"/>
        <item x="34"/>
        <item x="677"/>
        <item x="346"/>
        <item x="678"/>
        <item x="679"/>
        <item x="680"/>
        <item x="681"/>
        <item x="682"/>
        <item x="683"/>
        <item x="684"/>
        <item x="35"/>
        <item x="685"/>
        <item x="347"/>
        <item x="36"/>
        <item x="348"/>
        <item x="686"/>
        <item x="37"/>
        <item x="38"/>
        <item x="687"/>
        <item x="39"/>
        <item x="688"/>
        <item x="689"/>
        <item x="40"/>
        <item x="690"/>
        <item x="691"/>
        <item x="349"/>
        <item x="350"/>
        <item x="351"/>
        <item x="41"/>
        <item x="42"/>
        <item x="352"/>
        <item x="353"/>
        <item x="354"/>
        <item x="692"/>
        <item x="693"/>
        <item x="43"/>
        <item x="694"/>
        <item x="44"/>
        <item x="695"/>
        <item x="355"/>
        <item x="356"/>
        <item x="45"/>
        <item x="357"/>
        <item x="358"/>
        <item x="696"/>
        <item x="697"/>
        <item x="698"/>
        <item x="699"/>
        <item x="46"/>
        <item x="47"/>
        <item x="359"/>
        <item x="360"/>
        <item x="361"/>
        <item x="700"/>
        <item x="701"/>
        <item x="362"/>
        <item x="363"/>
        <item x="702"/>
        <item x="703"/>
        <item x="48"/>
        <item x="704"/>
        <item x="705"/>
        <item x="706"/>
        <item x="364"/>
        <item x="49"/>
        <item x="50"/>
        <item x="707"/>
        <item x="708"/>
        <item x="51"/>
        <item x="709"/>
        <item x="710"/>
        <item x="52"/>
        <item x="53"/>
        <item x="54"/>
        <item x="55"/>
        <item x="56"/>
        <item x="365"/>
        <item x="57"/>
        <item x="366"/>
        <item x="711"/>
        <item x="58"/>
        <item x="59"/>
        <item x="60"/>
        <item x="61"/>
        <item x="712"/>
        <item x="62"/>
        <item x="63"/>
        <item x="64"/>
        <item x="65"/>
        <item x="367"/>
        <item x="368"/>
        <item x="369"/>
        <item x="713"/>
        <item x="66"/>
        <item x="67"/>
        <item x="68"/>
        <item x="69"/>
        <item x="714"/>
        <item x="70"/>
        <item x="715"/>
        <item x="370"/>
        <item x="371"/>
        <item x="716"/>
        <item x="717"/>
        <item x="71"/>
        <item x="72"/>
        <item x="372"/>
        <item x="373"/>
        <item x="73"/>
        <item x="74"/>
        <item x="718"/>
        <item x="719"/>
        <item x="720"/>
        <item x="721"/>
        <item x="722"/>
        <item x="374"/>
        <item x="375"/>
        <item x="376"/>
        <item x="75"/>
        <item x="377"/>
        <item x="378"/>
        <item x="379"/>
        <item x="76"/>
        <item x="77"/>
        <item x="78"/>
        <item x="723"/>
        <item x="724"/>
        <item x="725"/>
        <item x="726"/>
        <item x="727"/>
        <item x="380"/>
        <item x="728"/>
        <item x="729"/>
        <item x="730"/>
        <item x="381"/>
        <item x="382"/>
        <item x="731"/>
        <item x="79"/>
        <item x="383"/>
        <item x="732"/>
        <item x="733"/>
        <item x="734"/>
        <item x="735"/>
        <item x="80"/>
        <item x="736"/>
        <item x="737"/>
        <item x="738"/>
        <item x="81"/>
        <item x="82"/>
        <item x="83"/>
        <item x="739"/>
        <item x="84"/>
        <item x="85"/>
        <item x="384"/>
        <item x="740"/>
        <item x="741"/>
        <item x="742"/>
        <item x="743"/>
        <item x="744"/>
        <item x="745"/>
        <item x="86"/>
        <item x="746"/>
        <item x="747"/>
        <item x="748"/>
        <item x="87"/>
        <item x="88"/>
        <item x="749"/>
        <item x="750"/>
        <item x="89"/>
        <item x="90"/>
        <item x="385"/>
        <item x="751"/>
        <item x="386"/>
        <item x="752"/>
        <item x="753"/>
        <item x="754"/>
        <item x="387"/>
        <item x="388"/>
        <item x="755"/>
        <item x="756"/>
        <item x="389"/>
        <item x="757"/>
        <item x="758"/>
        <item x="759"/>
        <item x="760"/>
        <item x="390"/>
        <item x="761"/>
        <item x="762"/>
        <item x="763"/>
        <item x="764"/>
        <item x="391"/>
        <item x="392"/>
        <item x="765"/>
        <item x="766"/>
        <item x="393"/>
        <item x="767"/>
        <item x="768"/>
        <item x="769"/>
        <item x="770"/>
        <item x="394"/>
        <item x="91"/>
        <item x="92"/>
        <item x="771"/>
        <item x="772"/>
        <item x="773"/>
        <item x="93"/>
        <item x="94"/>
        <item x="95"/>
        <item x="774"/>
        <item x="395"/>
        <item x="396"/>
        <item x="775"/>
        <item x="776"/>
        <item x="96"/>
        <item x="97"/>
        <item x="98"/>
        <item x="777"/>
        <item x="397"/>
        <item x="778"/>
        <item x="779"/>
        <item x="780"/>
        <item x="398"/>
        <item x="399"/>
        <item x="400"/>
        <item x="781"/>
        <item x="99"/>
        <item x="100"/>
        <item x="101"/>
        <item x="782"/>
        <item x="401"/>
        <item x="402"/>
        <item x="783"/>
        <item x="784"/>
        <item x="102"/>
        <item x="785"/>
        <item x="403"/>
        <item x="786"/>
        <item x="787"/>
        <item x="788"/>
        <item x="789"/>
        <item x="790"/>
        <item x="791"/>
        <item x="792"/>
        <item x="793"/>
        <item x="794"/>
        <item x="404"/>
        <item x="103"/>
        <item x="104"/>
        <item x="105"/>
        <item x="795"/>
        <item x="405"/>
        <item x="796"/>
        <item x="106"/>
        <item x="406"/>
        <item x="407"/>
        <item x="408"/>
        <item x="797"/>
        <item x="798"/>
        <item x="107"/>
        <item x="799"/>
        <item x="108"/>
        <item x="800"/>
        <item x="801"/>
        <item x="109"/>
        <item x="802"/>
        <item x="803"/>
        <item x="804"/>
        <item x="805"/>
        <item x="806"/>
        <item x="807"/>
        <item x="808"/>
        <item x="809"/>
        <item x="810"/>
        <item x="110"/>
        <item x="111"/>
        <item x="112"/>
        <item x="113"/>
        <item x="114"/>
        <item x="115"/>
        <item x="116"/>
        <item x="811"/>
        <item x="409"/>
        <item x="117"/>
        <item x="812"/>
        <item x="118"/>
        <item x="119"/>
        <item x="120"/>
        <item x="121"/>
        <item x="122"/>
        <item x="123"/>
        <item x="124"/>
        <item x="410"/>
        <item x="125"/>
        <item x="411"/>
        <item x="126"/>
        <item x="127"/>
        <item x="412"/>
        <item x="413"/>
        <item x="414"/>
        <item x="813"/>
        <item x="814"/>
        <item x="415"/>
        <item x="416"/>
        <item x="417"/>
        <item x="128"/>
        <item x="129"/>
        <item x="815"/>
        <item x="130"/>
        <item x="131"/>
        <item x="132"/>
        <item x="418"/>
        <item x="419"/>
        <item x="420"/>
        <item x="421"/>
        <item x="816"/>
        <item x="422"/>
        <item x="423"/>
        <item x="817"/>
        <item x="424"/>
        <item x="818"/>
        <item x="133"/>
        <item x="134"/>
        <item x="135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136"/>
        <item x="137"/>
        <item x="138"/>
        <item x="139"/>
        <item x="832"/>
        <item x="425"/>
        <item x="140"/>
        <item x="141"/>
        <item x="833"/>
        <item x="834"/>
        <item x="142"/>
        <item x="835"/>
        <item x="836"/>
        <item x="837"/>
        <item x="838"/>
        <item x="839"/>
        <item x="840"/>
        <item x="841"/>
        <item x="842"/>
        <item x="843"/>
        <item x="844"/>
        <item x="426"/>
        <item x="427"/>
        <item x="428"/>
        <item x="845"/>
        <item x="846"/>
        <item x="847"/>
        <item x="848"/>
        <item x="849"/>
        <item x="850"/>
        <item x="429"/>
        <item x="143"/>
        <item x="144"/>
        <item x="851"/>
        <item x="852"/>
        <item x="430"/>
        <item x="145"/>
        <item x="146"/>
        <item x="431"/>
        <item x="147"/>
        <item x="432"/>
        <item x="148"/>
        <item x="433"/>
        <item x="149"/>
        <item x="150"/>
        <item x="434"/>
        <item x="435"/>
        <item x="853"/>
        <item x="436"/>
        <item x="151"/>
        <item x="854"/>
        <item x="152"/>
        <item x="153"/>
        <item x="154"/>
        <item x="155"/>
        <item x="156"/>
        <item x="855"/>
        <item x="856"/>
        <item x="857"/>
        <item x="858"/>
        <item x="859"/>
        <item x="860"/>
        <item x="861"/>
        <item x="862"/>
        <item x="863"/>
        <item x="864"/>
        <item x="437"/>
        <item x="438"/>
        <item x="439"/>
        <item x="440"/>
        <item x="441"/>
        <item x="442"/>
        <item x="443"/>
        <item x="444"/>
        <item x="157"/>
        <item x="445"/>
        <item x="158"/>
        <item x="159"/>
        <item x="160"/>
        <item x="865"/>
        <item x="866"/>
        <item x="446"/>
        <item x="447"/>
        <item x="448"/>
        <item x="449"/>
        <item x="450"/>
        <item x="161"/>
        <item x="451"/>
        <item x="452"/>
        <item x="867"/>
        <item x="868"/>
        <item x="162"/>
        <item x="163"/>
        <item x="164"/>
        <item x="869"/>
        <item x="453"/>
        <item x="870"/>
        <item x="454"/>
        <item x="871"/>
        <item x="455"/>
        <item x="456"/>
        <item x="165"/>
        <item x="166"/>
        <item x="167"/>
        <item x="872"/>
        <item x="457"/>
        <item x="873"/>
        <item x="874"/>
        <item x="168"/>
        <item x="458"/>
        <item x="875"/>
        <item x="876"/>
        <item x="877"/>
        <item x="169"/>
        <item x="170"/>
        <item x="878"/>
        <item x="459"/>
        <item x="460"/>
        <item x="879"/>
        <item x="880"/>
        <item x="881"/>
        <item x="461"/>
        <item x="462"/>
        <item x="463"/>
        <item x="464"/>
        <item x="882"/>
        <item x="883"/>
        <item x="884"/>
        <item x="885"/>
        <item x="46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171"/>
        <item x="903"/>
        <item x="904"/>
        <item x="905"/>
        <item x="172"/>
        <item x="906"/>
        <item x="907"/>
        <item x="908"/>
        <item x="909"/>
        <item x="910"/>
        <item x="466"/>
        <item x="467"/>
        <item x="911"/>
        <item x="912"/>
        <item x="913"/>
        <item x="914"/>
        <item x="468"/>
        <item x="915"/>
        <item x="916"/>
        <item x="917"/>
        <item x="918"/>
        <item x="469"/>
        <item x="919"/>
        <item x="470"/>
        <item x="920"/>
        <item x="173"/>
        <item x="921"/>
        <item x="922"/>
        <item x="923"/>
        <item x="471"/>
        <item x="924"/>
        <item x="174"/>
        <item x="175"/>
        <item x="176"/>
        <item x="925"/>
        <item x="926"/>
        <item x="927"/>
        <item x="928"/>
        <item x="929"/>
        <item x="177"/>
        <item x="178"/>
        <item x="930"/>
        <item x="931"/>
        <item x="932"/>
        <item x="933"/>
        <item x="934"/>
        <item x="472"/>
        <item x="179"/>
        <item x="935"/>
        <item x="936"/>
        <item x="937"/>
        <item x="473"/>
        <item x="938"/>
        <item x="939"/>
        <item x="180"/>
        <item x="474"/>
        <item x="940"/>
        <item x="475"/>
        <item x="476"/>
        <item x="941"/>
        <item x="942"/>
        <item x="943"/>
        <item x="944"/>
        <item x="477"/>
        <item x="945"/>
        <item x="946"/>
        <item x="947"/>
        <item x="478"/>
        <item x="479"/>
        <item x="480"/>
        <item x="481"/>
        <item x="948"/>
        <item x="949"/>
        <item x="950"/>
        <item x="181"/>
        <item x="951"/>
        <item x="952"/>
        <item x="953"/>
        <item x="954"/>
        <item x="955"/>
        <item x="956"/>
        <item x="482"/>
        <item x="957"/>
        <item x="483"/>
        <item x="958"/>
        <item x="484"/>
        <item x="959"/>
        <item x="960"/>
        <item x="961"/>
        <item x="182"/>
        <item x="962"/>
        <item x="183"/>
        <item x="485"/>
        <item x="184"/>
        <item x="486"/>
        <item x="963"/>
        <item x="964"/>
        <item x="965"/>
        <item x="185"/>
        <item x="966"/>
        <item x="967"/>
        <item x="968"/>
        <item x="186"/>
        <item x="969"/>
        <item x="187"/>
        <item x="188"/>
        <item x="970"/>
        <item x="487"/>
        <item x="971"/>
        <item x="972"/>
        <item x="973"/>
        <item x="974"/>
        <item x="189"/>
        <item x="190"/>
        <item x="191"/>
        <item x="488"/>
        <item x="489"/>
        <item x="975"/>
        <item x="976"/>
        <item x="977"/>
        <item x="978"/>
        <item x="979"/>
        <item x="192"/>
        <item x="980"/>
        <item x="490"/>
        <item x="981"/>
        <item x="982"/>
        <item x="193"/>
        <item x="983"/>
        <item x="984"/>
        <item x="194"/>
        <item x="985"/>
        <item x="986"/>
        <item x="195"/>
        <item x="987"/>
        <item x="988"/>
        <item x="491"/>
        <item x="492"/>
        <item x="493"/>
        <item x="494"/>
        <item x="989"/>
        <item x="990"/>
        <item x="495"/>
        <item x="991"/>
        <item x="992"/>
        <item x="196"/>
        <item x="993"/>
        <item x="994"/>
        <item x="197"/>
        <item x="198"/>
        <item x="995"/>
        <item x="996"/>
        <item x="496"/>
        <item x="497"/>
        <item x="199"/>
        <item x="200"/>
        <item x="997"/>
        <item x="201"/>
        <item x="998"/>
        <item x="999"/>
        <item x="1000"/>
        <item x="1001"/>
        <item x="498"/>
        <item x="499"/>
        <item x="1002"/>
        <item x="1003"/>
        <item x="202"/>
        <item x="1004"/>
        <item x="1005"/>
        <item x="1006"/>
        <item x="500"/>
        <item x="1007"/>
        <item x="1008"/>
        <item x="1009"/>
        <item x="1010"/>
        <item x="1011"/>
        <item x="1012"/>
        <item x="501"/>
        <item x="502"/>
        <item x="503"/>
        <item x="1013"/>
        <item x="1014"/>
        <item x="504"/>
        <item x="203"/>
        <item x="204"/>
        <item x="1015"/>
        <item x="1016"/>
        <item x="205"/>
        <item x="505"/>
        <item x="206"/>
        <item x="207"/>
        <item x="208"/>
        <item x="1017"/>
        <item x="1018"/>
        <item x="1019"/>
        <item x="506"/>
        <item x="1020"/>
        <item x="209"/>
        <item x="1021"/>
        <item x="1022"/>
        <item x="210"/>
        <item x="507"/>
        <item x="1023"/>
        <item x="1024"/>
        <item x="211"/>
        <item x="1025"/>
        <item x="1026"/>
        <item x="1027"/>
        <item x="1028"/>
        <item x="508"/>
        <item x="509"/>
        <item x="1029"/>
        <item x="1030"/>
        <item x="1031"/>
        <item x="1032"/>
        <item x="1033"/>
        <item x="1034"/>
        <item x="1035"/>
        <item x="1036"/>
        <item x="510"/>
        <item x="1037"/>
        <item x="1038"/>
        <item x="1039"/>
        <item x="1040"/>
        <item x="1041"/>
        <item x="1042"/>
        <item x="1043"/>
        <item x="511"/>
        <item x="1044"/>
        <item x="1045"/>
        <item x="1046"/>
        <item x="1047"/>
        <item x="1048"/>
        <item x="1049"/>
        <item x="1050"/>
        <item x="1051"/>
        <item x="512"/>
        <item x="513"/>
        <item x="212"/>
        <item x="1052"/>
        <item x="514"/>
        <item x="515"/>
        <item x="516"/>
        <item x="1053"/>
        <item x="517"/>
        <item x="213"/>
        <item x="214"/>
        <item x="215"/>
        <item x="216"/>
        <item x="518"/>
        <item x="217"/>
        <item x="1054"/>
        <item x="1055"/>
        <item x="1056"/>
        <item x="1057"/>
        <item x="1058"/>
        <item x="1059"/>
        <item x="1060"/>
        <item x="1061"/>
        <item x="1062"/>
        <item x="519"/>
        <item x="1063"/>
        <item x="520"/>
        <item x="1064"/>
        <item x="521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218"/>
        <item x="1080"/>
        <item x="1081"/>
        <item x="1082"/>
        <item x="1083"/>
        <item x="1084"/>
        <item x="1085"/>
        <item x="1086"/>
        <item x="1087"/>
        <item x="219"/>
        <item x="1088"/>
        <item x="1089"/>
        <item x="1090"/>
        <item x="1091"/>
        <item x="1092"/>
        <item x="220"/>
        <item x="221"/>
        <item x="1093"/>
        <item x="522"/>
        <item x="222"/>
        <item x="523"/>
        <item x="524"/>
        <item x="525"/>
        <item x="526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527"/>
        <item x="528"/>
        <item x="223"/>
        <item x="529"/>
        <item x="224"/>
        <item x="1105"/>
        <item x="1106"/>
        <item x="1107"/>
        <item x="1108"/>
        <item x="225"/>
        <item x="1109"/>
        <item x="1110"/>
        <item x="1111"/>
        <item x="1112"/>
        <item x="226"/>
        <item x="227"/>
        <item x="1113"/>
        <item x="1114"/>
        <item x="1115"/>
        <item x="1116"/>
        <item x="228"/>
        <item x="229"/>
        <item x="530"/>
        <item x="1117"/>
        <item x="531"/>
        <item x="230"/>
        <item x="1118"/>
        <item x="532"/>
        <item x="1119"/>
        <item x="1120"/>
        <item x="1121"/>
        <item x="1122"/>
        <item x="1123"/>
        <item x="1124"/>
        <item x="1125"/>
        <item x="1126"/>
        <item x="1127"/>
        <item x="1128"/>
        <item x="231"/>
        <item x="533"/>
        <item x="534"/>
        <item x="535"/>
        <item x="1129"/>
        <item x="536"/>
        <item x="1130"/>
        <item x="1131"/>
        <item x="1132"/>
        <item x="537"/>
        <item x="538"/>
        <item x="232"/>
        <item x="233"/>
        <item x="539"/>
        <item x="540"/>
        <item x="541"/>
        <item x="542"/>
        <item x="1133"/>
        <item x="1134"/>
        <item x="1135"/>
        <item x="1136"/>
        <item x="543"/>
        <item x="1137"/>
        <item x="544"/>
        <item x="545"/>
        <item x="234"/>
        <item x="546"/>
        <item x="1138"/>
        <item x="235"/>
        <item x="1139"/>
        <item x="1140"/>
        <item x="1141"/>
        <item x="1142"/>
        <item x="1143"/>
        <item x="1144"/>
        <item x="547"/>
        <item x="548"/>
        <item x="549"/>
        <item x="550"/>
        <item x="551"/>
        <item x="1145"/>
        <item x="236"/>
        <item x="1146"/>
        <item x="1147"/>
        <item x="1148"/>
        <item x="1149"/>
        <item x="237"/>
        <item x="238"/>
        <item x="1150"/>
        <item x="1151"/>
        <item x="239"/>
        <item x="552"/>
        <item x="1152"/>
        <item x="240"/>
        <item x="1153"/>
        <item x="241"/>
        <item x="1154"/>
        <item x="1155"/>
        <item x="1156"/>
        <item x="242"/>
        <item x="243"/>
        <item x="244"/>
        <item x="1157"/>
        <item x="245"/>
        <item x="246"/>
        <item x="247"/>
        <item x="1158"/>
        <item x="248"/>
        <item x="553"/>
        <item x="1159"/>
        <item x="1160"/>
        <item x="1161"/>
        <item x="249"/>
        <item x="250"/>
        <item x="251"/>
        <item x="252"/>
        <item x="253"/>
        <item x="1162"/>
        <item x="1163"/>
        <item x="1164"/>
        <item x="25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255"/>
        <item x="1179"/>
        <item x="1180"/>
        <item x="256"/>
        <item x="1181"/>
        <item x="1182"/>
        <item x="1183"/>
        <item x="1184"/>
        <item x="1185"/>
        <item x="1187"/>
        <item x="1186"/>
        <item x="1188"/>
        <item x="1189"/>
        <item x="1190"/>
        <item x="1191"/>
        <item x="257"/>
        <item x="554"/>
        <item x="1192"/>
        <item x="555"/>
        <item x="258"/>
        <item x="259"/>
        <item x="556"/>
        <item x="1193"/>
        <item x="1194"/>
        <item x="1195"/>
        <item x="557"/>
        <item x="1196"/>
        <item x="1197"/>
        <item x="260"/>
        <item x="558"/>
        <item x="261"/>
        <item x="262"/>
        <item x="263"/>
        <item x="1198"/>
        <item x="264"/>
        <item x="559"/>
        <item x="560"/>
        <item x="1199"/>
        <item x="1200"/>
        <item x="1201"/>
        <item x="1202"/>
        <item x="1203"/>
        <item x="561"/>
        <item x="1204"/>
        <item x="1205"/>
        <item x="1206"/>
        <item x="1207"/>
        <item x="1208"/>
        <item x="1209"/>
        <item x="1210"/>
        <item x="562"/>
        <item x="563"/>
        <item x="1211"/>
        <item x="265"/>
        <item x="266"/>
        <item x="1212"/>
        <item x="564"/>
        <item x="267"/>
        <item x="268"/>
        <item x="269"/>
        <item x="1213"/>
        <item x="270"/>
        <item x="1214"/>
        <item x="271"/>
        <item x="272"/>
        <item x="565"/>
        <item x="1215"/>
        <item x="1216"/>
        <item x="1217"/>
        <item x="273"/>
        <item x="274"/>
        <item x="275"/>
        <item x="276"/>
        <item x="277"/>
        <item x="1218"/>
        <item x="278"/>
        <item x="1219"/>
        <item x="1220"/>
        <item x="1221"/>
        <item x="1222"/>
        <item x="566"/>
        <item x="279"/>
        <item x="280"/>
        <item x="281"/>
        <item x="282"/>
        <item x="283"/>
        <item x="567"/>
        <item x="284"/>
        <item x="1223"/>
        <item x="1224"/>
        <item x="1225"/>
        <item x="1226"/>
        <item x="285"/>
        <item x="286"/>
        <item x="1227"/>
        <item x="1228"/>
        <item x="1229"/>
        <item x="1230"/>
        <item x="1231"/>
        <item x="1232"/>
        <item x="287"/>
        <item x="1233"/>
        <item x="1234"/>
        <item x="1235"/>
        <item x="568"/>
        <item x="569"/>
        <item x="288"/>
        <item x="289"/>
        <item x="290"/>
        <item x="291"/>
        <item x="292"/>
        <item x="293"/>
        <item x="1236"/>
        <item x="294"/>
        <item x="295"/>
        <item x="296"/>
        <item x="1237"/>
        <item x="1238"/>
        <item x="1239"/>
        <item x="1240"/>
        <item x="1241"/>
        <item x="1242"/>
        <item x="1243"/>
        <item x="297"/>
        <item x="1244"/>
        <item x="1245"/>
        <item x="1246"/>
        <item x="1247"/>
        <item x="1248"/>
        <item x="1249"/>
        <item x="570"/>
        <item x="1250"/>
        <item x="1251"/>
        <item x="1252"/>
        <item x="1253"/>
        <item x="1254"/>
        <item x="1255"/>
        <item x="1256"/>
        <item x="571"/>
        <item x="572"/>
        <item x="573"/>
        <item x="298"/>
        <item x="1257"/>
        <item x="1258"/>
        <item x="1259"/>
        <item x="574"/>
        <item x="575"/>
        <item x="299"/>
        <item x="1260"/>
        <item x="1261"/>
        <item x="1262"/>
        <item x="300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576"/>
        <item x="1276"/>
        <item x="1277"/>
        <item x="1278"/>
        <item x="1279"/>
        <item x="577"/>
        <item x="301"/>
        <item x="302"/>
        <item x="1280"/>
        <item x="578"/>
        <item x="579"/>
        <item x="580"/>
        <item x="1281"/>
        <item x="303"/>
        <item x="304"/>
        <item x="581"/>
        <item x="582"/>
        <item x="583"/>
        <item x="584"/>
        <item x="1282"/>
        <item x="305"/>
        <item x="585"/>
        <item x="586"/>
        <item x="587"/>
        <item x="588"/>
        <item x="589"/>
        <item x="1283"/>
        <item x="590"/>
        <item x="591"/>
        <item x="592"/>
        <item x="593"/>
        <item x="1284"/>
        <item x="594"/>
        <item x="595"/>
        <item x="306"/>
        <item x="307"/>
        <item x="308"/>
        <item x="309"/>
        <item x="310"/>
        <item x="311"/>
        <item x="1285"/>
        <item x="312"/>
        <item x="313"/>
        <item x="314"/>
        <item x="1286"/>
        <item x="1287"/>
        <item x="596"/>
        <item x="1288"/>
        <item x="315"/>
        <item x="1289"/>
        <item x="1290"/>
        <item x="316"/>
        <item x="597"/>
        <item x="1291"/>
        <item x="1292"/>
        <item x="317"/>
        <item x="318"/>
        <item x="319"/>
        <item x="1293"/>
        <item x="1294"/>
        <item x="1295"/>
        <item x="1296"/>
        <item x="320"/>
        <item x="598"/>
        <item x="321"/>
        <item x="1297"/>
        <item x="1298"/>
        <item x="322"/>
        <item x="1299"/>
        <item x="1300"/>
        <item x="1301"/>
        <item x="599"/>
        <item x="1302"/>
        <item x="1303"/>
        <item x="1304"/>
        <item x="1305"/>
        <item x="1306"/>
        <item t="default"/>
      </items>
    </pivotField>
    <pivotField showAll="0"/>
    <pivotField showAll="0"/>
    <pivotField>
      <items count="9">
        <item x="1"/>
        <item x="0"/>
        <item x="4"/>
        <item x="2"/>
        <item x="5"/>
        <item x="3"/>
        <item x="6"/>
        <item x="7"/>
        <item t="default"/>
      </items>
    </pivotField>
    <pivotField showAll="0"/>
    <pivotField showAll="0"/>
    <pivotField showAll="0"/>
    <pivotField dataField="1" showAll="0"/>
    <pivotField showAll="0" defaultSubtotal="0">
      <items count="7">
        <item x="4"/>
        <item x="5"/>
        <item x="2"/>
        <item x="3"/>
        <item x="6"/>
        <item x="1"/>
        <item x="0"/>
      </items>
    </pivotField>
    <pivotField showAll="0"/>
  </pivotFields>
  <rowItems count="1">
    <i/>
  </rowItems>
  <colItems count="1">
    <i/>
  </colItems>
  <dataFields count="1">
    <dataField name="Suma z Fare" fld="9" baseField="0" baseItem="0" numFmtId="164"/>
  </dataFields>
  <formats count="1"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class percen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2">
  <location ref="A56:C60" firstHeaderRow="0" firstDataRow="1" firstDataCol="1"/>
  <pivotFields count="12">
    <pivotField axis="axisRow" dataField="1" showAll="0">
      <items count="7">
        <item n="3" m="1" x="3"/>
        <item n="2" m="1" x="5"/>
        <item n="1" m="1" x="4"/>
        <item x="2"/>
        <item x="1"/>
        <item x="0"/>
        <item t="default"/>
      </items>
    </pivotField>
    <pivotField showAll="0"/>
    <pivotField dataField="1" showAll="0"/>
    <pivotField showAll="0"/>
    <pivotField showAll="0"/>
    <pivotField/>
    <pivotField showAll="0"/>
    <pivotField showAll="0"/>
    <pivotField showAll="0"/>
    <pivotField showAll="0"/>
    <pivotField showAll="0" defaultSubtotal="0"/>
    <pivotField showAll="0"/>
  </pivotFields>
  <rowFields count="1">
    <field x="0"/>
  </rowFields>
  <rowItems count="4"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z Name" fld="2" subtotal="count" baseField="0" baseItem="0"/>
    <dataField name="Liczba z Passenger Class" fld="0" subtotal="count" showDataAs="percentOfTotal" baseField="0" baseItem="0" numFmtId="10"/>
  </dataFields>
  <chartFormats count="18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33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1" format="34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1" format="35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fare brackets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17">
  <location ref="A78:B86" firstHeaderRow="1" firstDataRow="1" firstDataCol="1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/>
    <pivotField showAll="0"/>
    <pivotField showAll="0"/>
    <pivotField>
      <items count="9">
        <item x="1"/>
        <item x="0"/>
        <item x="4"/>
        <item x="2"/>
        <item x="5"/>
        <item x="3"/>
        <item x="6"/>
        <item x="7"/>
        <item t="default"/>
      </items>
    </pivotField>
    <pivotField showAll="0"/>
    <pivotField showAll="0"/>
    <pivotField showAll="0"/>
    <pivotField showAll="0"/>
    <pivotField axis="axisRow" defaultSubtotal="0">
      <items count="7">
        <item x="4"/>
        <item x="5"/>
        <item x="2"/>
        <item x="3"/>
        <item x="6"/>
        <item x="1"/>
        <item x="0"/>
      </items>
    </pivotField>
    <pivotField showAll="0"/>
  </pivotFields>
  <rowFields count="1">
    <field x="1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Liczba z Name" fld="2" subtotal="count" baseField="0" baseItem="0"/>
  </dataFields>
  <chartFormats count="1"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ort percent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 chartFormat="21">
  <location ref="A156:C160" firstHeaderRow="0" firstDataRow="1" firstDataCol="1"/>
  <pivotFields count="12">
    <pivotField showAll="0">
      <items count="7">
        <item m="1" x="4"/>
        <item m="1" x="5"/>
        <item m="1" x="3"/>
        <item x="0"/>
        <item x="1"/>
        <item x="2"/>
        <item t="default"/>
      </items>
    </pivotField>
    <pivotField showAll="0">
      <items count="5">
        <item x="1"/>
        <item m="1" x="2"/>
        <item x="0"/>
        <item m="1" x="3"/>
        <item t="default"/>
      </items>
    </pivotField>
    <pivotField dataField="1" showAll="0">
      <items count="1308">
        <item x="600"/>
        <item x="601"/>
        <item x="602"/>
        <item x="603"/>
        <item x="604"/>
        <item x="605"/>
        <item x="323"/>
        <item x="324"/>
        <item x="606"/>
        <item x="607"/>
        <item x="608"/>
        <item x="609"/>
        <item x="610"/>
        <item x="611"/>
        <item x="612"/>
        <item x="613"/>
        <item x="325"/>
        <item x="614"/>
        <item x="615"/>
        <item x="616"/>
        <item x="617"/>
        <item x="0"/>
        <item x="618"/>
        <item x="1"/>
        <item x="2"/>
        <item x="3"/>
        <item x="4"/>
        <item x="619"/>
        <item x="620"/>
        <item x="621"/>
        <item x="5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326"/>
        <item x="327"/>
        <item x="6"/>
        <item x="7"/>
        <item x="634"/>
        <item x="328"/>
        <item x="329"/>
        <item x="8"/>
        <item x="635"/>
        <item x="636"/>
        <item x="637"/>
        <item x="9"/>
        <item x="330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10"/>
        <item x="11"/>
        <item x="650"/>
        <item x="651"/>
        <item x="12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331"/>
        <item x="332"/>
        <item x="663"/>
        <item x="333"/>
        <item x="334"/>
        <item x="664"/>
        <item x="665"/>
        <item x="666"/>
        <item x="13"/>
        <item x="14"/>
        <item x="667"/>
        <item x="668"/>
        <item x="335"/>
        <item x="15"/>
        <item x="16"/>
        <item x="17"/>
        <item x="18"/>
        <item x="336"/>
        <item x="337"/>
        <item x="19"/>
        <item x="338"/>
        <item x="669"/>
        <item x="339"/>
        <item x="340"/>
        <item x="341"/>
        <item x="342"/>
        <item x="20"/>
        <item x="21"/>
        <item x="343"/>
        <item x="22"/>
        <item x="670"/>
        <item x="344"/>
        <item x="671"/>
        <item x="345"/>
        <item x="672"/>
        <item x="673"/>
        <item x="23"/>
        <item x="674"/>
        <item x="24"/>
        <item x="675"/>
        <item x="25"/>
        <item x="26"/>
        <item x="27"/>
        <item x="28"/>
        <item x="676"/>
        <item x="29"/>
        <item x="30"/>
        <item x="31"/>
        <item x="32"/>
        <item x="33"/>
        <item x="34"/>
        <item x="677"/>
        <item x="346"/>
        <item x="678"/>
        <item x="679"/>
        <item x="680"/>
        <item x="681"/>
        <item x="682"/>
        <item x="683"/>
        <item x="684"/>
        <item x="35"/>
        <item x="685"/>
        <item x="347"/>
        <item x="36"/>
        <item x="348"/>
        <item x="686"/>
        <item x="37"/>
        <item x="38"/>
        <item x="687"/>
        <item x="39"/>
        <item x="688"/>
        <item x="689"/>
        <item x="40"/>
        <item x="690"/>
        <item x="691"/>
        <item x="349"/>
        <item x="350"/>
        <item x="351"/>
        <item x="41"/>
        <item x="42"/>
        <item x="352"/>
        <item x="353"/>
        <item x="354"/>
        <item x="692"/>
        <item x="693"/>
        <item x="43"/>
        <item x="694"/>
        <item x="44"/>
        <item x="695"/>
        <item x="355"/>
        <item x="356"/>
        <item x="45"/>
        <item x="357"/>
        <item x="358"/>
        <item x="696"/>
        <item x="697"/>
        <item x="698"/>
        <item x="699"/>
        <item x="46"/>
        <item x="47"/>
        <item x="359"/>
        <item x="360"/>
        <item x="361"/>
        <item x="700"/>
        <item x="701"/>
        <item x="362"/>
        <item x="363"/>
        <item x="702"/>
        <item x="703"/>
        <item x="48"/>
        <item x="704"/>
        <item x="705"/>
        <item x="706"/>
        <item x="364"/>
        <item x="49"/>
        <item x="50"/>
        <item x="707"/>
        <item x="708"/>
        <item x="51"/>
        <item x="709"/>
        <item x="710"/>
        <item x="52"/>
        <item x="53"/>
        <item x="54"/>
        <item x="55"/>
        <item x="56"/>
        <item x="365"/>
        <item x="57"/>
        <item x="366"/>
        <item x="711"/>
        <item x="58"/>
        <item x="59"/>
        <item x="60"/>
        <item x="61"/>
        <item x="712"/>
        <item x="62"/>
        <item x="63"/>
        <item x="64"/>
        <item x="65"/>
        <item x="367"/>
        <item x="368"/>
        <item x="369"/>
        <item x="713"/>
        <item x="66"/>
        <item x="67"/>
        <item x="68"/>
        <item x="69"/>
        <item x="714"/>
        <item x="70"/>
        <item x="715"/>
        <item x="370"/>
        <item x="371"/>
        <item x="716"/>
        <item x="717"/>
        <item x="71"/>
        <item x="72"/>
        <item x="372"/>
        <item x="373"/>
        <item x="73"/>
        <item x="74"/>
        <item x="718"/>
        <item x="719"/>
        <item x="720"/>
        <item x="721"/>
        <item x="722"/>
        <item x="374"/>
        <item x="375"/>
        <item x="376"/>
        <item x="75"/>
        <item x="377"/>
        <item x="378"/>
        <item x="379"/>
        <item x="76"/>
        <item x="77"/>
        <item x="78"/>
        <item x="723"/>
        <item x="724"/>
        <item x="725"/>
        <item x="726"/>
        <item x="727"/>
        <item x="380"/>
        <item x="728"/>
        <item x="729"/>
        <item x="730"/>
        <item x="381"/>
        <item x="382"/>
        <item x="731"/>
        <item x="79"/>
        <item x="383"/>
        <item x="732"/>
        <item x="733"/>
        <item x="734"/>
        <item x="735"/>
        <item x="80"/>
        <item x="736"/>
        <item x="737"/>
        <item x="738"/>
        <item x="81"/>
        <item x="82"/>
        <item x="83"/>
        <item x="739"/>
        <item x="84"/>
        <item x="85"/>
        <item x="384"/>
        <item x="740"/>
        <item x="741"/>
        <item x="742"/>
        <item x="743"/>
        <item x="744"/>
        <item x="745"/>
        <item x="86"/>
        <item x="746"/>
        <item x="747"/>
        <item x="748"/>
        <item x="87"/>
        <item x="88"/>
        <item x="749"/>
        <item x="750"/>
        <item x="89"/>
        <item x="90"/>
        <item x="385"/>
        <item x="751"/>
        <item x="386"/>
        <item x="752"/>
        <item x="753"/>
        <item x="754"/>
        <item x="387"/>
        <item x="388"/>
        <item x="755"/>
        <item x="756"/>
        <item x="389"/>
        <item x="757"/>
        <item x="758"/>
        <item x="759"/>
        <item x="760"/>
        <item x="390"/>
        <item x="761"/>
        <item x="762"/>
        <item x="763"/>
        <item x="764"/>
        <item x="391"/>
        <item x="392"/>
        <item x="765"/>
        <item x="766"/>
        <item x="393"/>
        <item x="767"/>
        <item x="768"/>
        <item x="769"/>
        <item x="770"/>
        <item x="394"/>
        <item x="91"/>
        <item x="92"/>
        <item x="771"/>
        <item x="772"/>
        <item x="773"/>
        <item x="93"/>
        <item x="94"/>
        <item x="95"/>
        <item x="774"/>
        <item x="395"/>
        <item x="396"/>
        <item x="775"/>
        <item x="776"/>
        <item x="96"/>
        <item x="97"/>
        <item x="98"/>
        <item x="777"/>
        <item x="397"/>
        <item x="778"/>
        <item x="779"/>
        <item x="780"/>
        <item x="398"/>
        <item x="399"/>
        <item x="400"/>
        <item x="781"/>
        <item x="99"/>
        <item x="100"/>
        <item x="101"/>
        <item x="782"/>
        <item x="401"/>
        <item x="402"/>
        <item x="783"/>
        <item x="784"/>
        <item x="102"/>
        <item x="785"/>
        <item x="403"/>
        <item x="786"/>
        <item x="787"/>
        <item x="788"/>
        <item x="789"/>
        <item x="790"/>
        <item x="791"/>
        <item x="792"/>
        <item x="793"/>
        <item x="794"/>
        <item x="404"/>
        <item x="103"/>
        <item x="104"/>
        <item x="105"/>
        <item x="795"/>
        <item x="405"/>
        <item x="796"/>
        <item x="106"/>
        <item x="406"/>
        <item x="407"/>
        <item x="408"/>
        <item x="797"/>
        <item x="798"/>
        <item x="107"/>
        <item x="799"/>
        <item x="108"/>
        <item x="800"/>
        <item x="801"/>
        <item x="109"/>
        <item x="802"/>
        <item x="803"/>
        <item x="804"/>
        <item x="805"/>
        <item x="806"/>
        <item x="807"/>
        <item x="808"/>
        <item x="809"/>
        <item x="810"/>
        <item x="110"/>
        <item x="111"/>
        <item x="112"/>
        <item x="113"/>
        <item x="114"/>
        <item x="115"/>
        <item x="116"/>
        <item x="811"/>
        <item x="409"/>
        <item x="117"/>
        <item x="812"/>
        <item x="118"/>
        <item x="119"/>
        <item x="120"/>
        <item x="121"/>
        <item x="122"/>
        <item x="123"/>
        <item x="124"/>
        <item x="410"/>
        <item x="125"/>
        <item x="411"/>
        <item x="126"/>
        <item x="127"/>
        <item x="412"/>
        <item x="413"/>
        <item x="414"/>
        <item x="813"/>
        <item x="814"/>
        <item x="415"/>
        <item x="416"/>
        <item x="417"/>
        <item x="128"/>
        <item x="129"/>
        <item x="815"/>
        <item x="130"/>
        <item x="131"/>
        <item x="132"/>
        <item x="418"/>
        <item x="419"/>
        <item x="420"/>
        <item x="421"/>
        <item x="816"/>
        <item x="422"/>
        <item x="423"/>
        <item x="817"/>
        <item x="424"/>
        <item x="818"/>
        <item x="133"/>
        <item x="134"/>
        <item x="135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136"/>
        <item x="137"/>
        <item x="138"/>
        <item x="139"/>
        <item x="832"/>
        <item x="425"/>
        <item x="140"/>
        <item x="141"/>
        <item x="833"/>
        <item x="834"/>
        <item x="142"/>
        <item x="835"/>
        <item x="836"/>
        <item x="837"/>
        <item x="838"/>
        <item x="839"/>
        <item x="840"/>
        <item x="841"/>
        <item x="842"/>
        <item x="843"/>
        <item x="844"/>
        <item x="426"/>
        <item x="427"/>
        <item x="428"/>
        <item x="845"/>
        <item x="846"/>
        <item x="847"/>
        <item x="848"/>
        <item x="849"/>
        <item x="850"/>
        <item x="429"/>
        <item x="143"/>
        <item x="144"/>
        <item x="851"/>
        <item x="852"/>
        <item x="430"/>
        <item x="145"/>
        <item x="146"/>
        <item x="431"/>
        <item x="147"/>
        <item x="432"/>
        <item x="148"/>
        <item x="433"/>
        <item x="149"/>
        <item x="150"/>
        <item x="434"/>
        <item x="435"/>
        <item x="853"/>
        <item x="436"/>
        <item x="151"/>
        <item x="854"/>
        <item x="152"/>
        <item x="153"/>
        <item x="154"/>
        <item x="155"/>
        <item x="156"/>
        <item x="855"/>
        <item x="856"/>
        <item x="857"/>
        <item x="858"/>
        <item x="859"/>
        <item x="860"/>
        <item x="861"/>
        <item x="862"/>
        <item x="863"/>
        <item x="864"/>
        <item x="437"/>
        <item x="438"/>
        <item x="439"/>
        <item x="440"/>
        <item x="441"/>
        <item x="442"/>
        <item x="443"/>
        <item x="444"/>
        <item x="157"/>
        <item x="445"/>
        <item x="158"/>
        <item x="159"/>
        <item x="160"/>
        <item x="865"/>
        <item x="866"/>
        <item x="446"/>
        <item x="447"/>
        <item x="448"/>
        <item x="449"/>
        <item x="450"/>
        <item x="161"/>
        <item x="451"/>
        <item x="452"/>
        <item x="867"/>
        <item x="868"/>
        <item x="162"/>
        <item x="163"/>
        <item x="164"/>
        <item x="869"/>
        <item x="453"/>
        <item x="870"/>
        <item x="454"/>
        <item x="871"/>
        <item x="455"/>
        <item x="456"/>
        <item x="165"/>
        <item x="166"/>
        <item x="167"/>
        <item x="872"/>
        <item x="457"/>
        <item x="873"/>
        <item x="874"/>
        <item x="168"/>
        <item x="458"/>
        <item x="875"/>
        <item x="876"/>
        <item x="877"/>
        <item x="169"/>
        <item x="170"/>
        <item x="878"/>
        <item x="459"/>
        <item x="460"/>
        <item x="879"/>
        <item x="880"/>
        <item x="881"/>
        <item x="461"/>
        <item x="462"/>
        <item x="463"/>
        <item x="464"/>
        <item x="882"/>
        <item x="883"/>
        <item x="884"/>
        <item x="885"/>
        <item x="46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171"/>
        <item x="903"/>
        <item x="904"/>
        <item x="905"/>
        <item x="172"/>
        <item x="906"/>
        <item x="907"/>
        <item x="908"/>
        <item x="909"/>
        <item x="910"/>
        <item x="466"/>
        <item x="467"/>
        <item x="911"/>
        <item x="912"/>
        <item x="913"/>
        <item x="914"/>
        <item x="468"/>
        <item x="915"/>
        <item x="916"/>
        <item x="917"/>
        <item x="918"/>
        <item x="469"/>
        <item x="919"/>
        <item x="470"/>
        <item x="920"/>
        <item x="173"/>
        <item x="921"/>
        <item x="922"/>
        <item x="923"/>
        <item x="471"/>
        <item x="924"/>
        <item x="174"/>
        <item x="175"/>
        <item x="176"/>
        <item x="925"/>
        <item x="926"/>
        <item x="927"/>
        <item x="928"/>
        <item x="929"/>
        <item x="177"/>
        <item x="178"/>
        <item x="930"/>
        <item x="931"/>
        <item x="932"/>
        <item x="933"/>
        <item x="934"/>
        <item x="472"/>
        <item x="179"/>
        <item x="935"/>
        <item x="936"/>
        <item x="937"/>
        <item x="473"/>
        <item x="938"/>
        <item x="939"/>
        <item x="180"/>
        <item x="474"/>
        <item x="940"/>
        <item x="475"/>
        <item x="476"/>
        <item x="941"/>
        <item x="942"/>
        <item x="943"/>
        <item x="944"/>
        <item x="477"/>
        <item x="945"/>
        <item x="946"/>
        <item x="947"/>
        <item x="478"/>
        <item x="479"/>
        <item x="480"/>
        <item x="481"/>
        <item x="948"/>
        <item x="949"/>
        <item x="950"/>
        <item x="181"/>
        <item x="951"/>
        <item x="952"/>
        <item x="953"/>
        <item x="954"/>
        <item x="955"/>
        <item x="956"/>
        <item x="482"/>
        <item x="957"/>
        <item x="483"/>
        <item x="958"/>
        <item x="484"/>
        <item x="959"/>
        <item x="960"/>
        <item x="961"/>
        <item x="182"/>
        <item x="962"/>
        <item x="183"/>
        <item x="485"/>
        <item x="184"/>
        <item x="486"/>
        <item x="963"/>
        <item x="964"/>
        <item x="965"/>
        <item x="185"/>
        <item x="966"/>
        <item x="967"/>
        <item x="968"/>
        <item x="186"/>
        <item x="969"/>
        <item x="187"/>
        <item x="188"/>
        <item x="970"/>
        <item x="487"/>
        <item x="971"/>
        <item x="972"/>
        <item x="973"/>
        <item x="974"/>
        <item x="189"/>
        <item x="190"/>
        <item x="191"/>
        <item x="488"/>
        <item x="489"/>
        <item x="975"/>
        <item x="976"/>
        <item x="977"/>
        <item x="978"/>
        <item x="979"/>
        <item x="192"/>
        <item x="980"/>
        <item x="490"/>
        <item x="981"/>
        <item x="982"/>
        <item x="193"/>
        <item x="983"/>
        <item x="984"/>
        <item x="194"/>
        <item x="985"/>
        <item x="986"/>
        <item x="195"/>
        <item x="987"/>
        <item x="988"/>
        <item x="491"/>
        <item x="492"/>
        <item x="493"/>
        <item x="494"/>
        <item x="989"/>
        <item x="990"/>
        <item x="495"/>
        <item x="991"/>
        <item x="992"/>
        <item x="196"/>
        <item x="993"/>
        <item x="994"/>
        <item x="197"/>
        <item x="198"/>
        <item x="995"/>
        <item x="996"/>
        <item x="496"/>
        <item x="497"/>
        <item x="199"/>
        <item x="200"/>
        <item x="997"/>
        <item x="201"/>
        <item x="998"/>
        <item x="999"/>
        <item x="1000"/>
        <item x="1001"/>
        <item x="498"/>
        <item x="499"/>
        <item x="1002"/>
        <item x="1003"/>
        <item x="202"/>
        <item x="1004"/>
        <item x="1005"/>
        <item x="1006"/>
        <item x="500"/>
        <item x="1007"/>
        <item x="1008"/>
        <item x="1009"/>
        <item x="1010"/>
        <item x="1011"/>
        <item x="1012"/>
        <item x="501"/>
        <item x="502"/>
        <item x="503"/>
        <item x="1013"/>
        <item x="1014"/>
        <item x="504"/>
        <item x="203"/>
        <item x="204"/>
        <item x="1015"/>
        <item x="1016"/>
        <item x="205"/>
        <item x="505"/>
        <item x="206"/>
        <item x="207"/>
        <item x="208"/>
        <item x="1017"/>
        <item x="1018"/>
        <item x="1019"/>
        <item x="506"/>
        <item x="1020"/>
        <item x="209"/>
        <item x="1021"/>
        <item x="1022"/>
        <item x="210"/>
        <item x="507"/>
        <item x="1023"/>
        <item x="1024"/>
        <item x="211"/>
        <item x="1025"/>
        <item x="1026"/>
        <item x="1027"/>
        <item x="1028"/>
        <item x="508"/>
        <item x="509"/>
        <item x="1029"/>
        <item x="1030"/>
        <item x="1031"/>
        <item x="1032"/>
        <item x="1033"/>
        <item x="1034"/>
        <item x="1035"/>
        <item x="1036"/>
        <item x="510"/>
        <item x="1037"/>
        <item x="1038"/>
        <item x="1039"/>
        <item x="1040"/>
        <item x="1041"/>
        <item x="1042"/>
        <item x="1043"/>
        <item x="511"/>
        <item x="1044"/>
        <item x="1045"/>
        <item x="1046"/>
        <item x="1047"/>
        <item x="1048"/>
        <item x="1049"/>
        <item x="1050"/>
        <item x="1051"/>
        <item x="512"/>
        <item x="513"/>
        <item x="212"/>
        <item x="1052"/>
        <item x="514"/>
        <item x="515"/>
        <item x="516"/>
        <item x="1053"/>
        <item x="517"/>
        <item x="213"/>
        <item x="214"/>
        <item x="215"/>
        <item x="216"/>
        <item x="518"/>
        <item x="217"/>
        <item x="1054"/>
        <item x="1055"/>
        <item x="1056"/>
        <item x="1057"/>
        <item x="1058"/>
        <item x="1059"/>
        <item x="1060"/>
        <item x="1061"/>
        <item x="1062"/>
        <item x="519"/>
        <item x="1063"/>
        <item x="520"/>
        <item x="1064"/>
        <item x="521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218"/>
        <item x="1080"/>
        <item x="1081"/>
        <item x="1082"/>
        <item x="1083"/>
        <item x="1084"/>
        <item x="1085"/>
        <item x="1086"/>
        <item x="1087"/>
        <item x="219"/>
        <item x="1088"/>
        <item x="1089"/>
        <item x="1090"/>
        <item x="1091"/>
        <item x="1092"/>
        <item x="220"/>
        <item x="221"/>
        <item x="1093"/>
        <item x="522"/>
        <item x="222"/>
        <item x="523"/>
        <item x="524"/>
        <item x="525"/>
        <item x="526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527"/>
        <item x="528"/>
        <item x="223"/>
        <item x="529"/>
        <item x="224"/>
        <item x="1105"/>
        <item x="1106"/>
        <item x="1107"/>
        <item x="1108"/>
        <item x="225"/>
        <item x="1109"/>
        <item x="1110"/>
        <item x="1111"/>
        <item x="1112"/>
        <item x="226"/>
        <item x="227"/>
        <item x="1113"/>
        <item x="1114"/>
        <item x="1115"/>
        <item x="1116"/>
        <item x="228"/>
        <item x="229"/>
        <item x="530"/>
        <item x="1117"/>
        <item x="531"/>
        <item x="230"/>
        <item x="1118"/>
        <item x="532"/>
        <item x="1119"/>
        <item x="1120"/>
        <item x="1121"/>
        <item x="1122"/>
        <item x="1123"/>
        <item x="1124"/>
        <item x="1125"/>
        <item x="1126"/>
        <item x="1127"/>
        <item x="1128"/>
        <item x="231"/>
        <item x="533"/>
        <item x="534"/>
        <item x="535"/>
        <item x="1129"/>
        <item x="536"/>
        <item x="1130"/>
        <item x="1131"/>
        <item x="1132"/>
        <item x="537"/>
        <item x="538"/>
        <item x="232"/>
        <item x="233"/>
        <item x="539"/>
        <item x="540"/>
        <item x="541"/>
        <item x="542"/>
        <item x="1133"/>
        <item x="1134"/>
        <item x="1135"/>
        <item x="1136"/>
        <item x="543"/>
        <item x="1137"/>
        <item x="544"/>
        <item x="545"/>
        <item x="234"/>
        <item x="546"/>
        <item x="1138"/>
        <item x="235"/>
        <item x="1139"/>
        <item x="1140"/>
        <item x="1141"/>
        <item x="1142"/>
        <item x="1143"/>
        <item x="1144"/>
        <item x="547"/>
        <item x="548"/>
        <item x="549"/>
        <item x="550"/>
        <item x="551"/>
        <item x="1145"/>
        <item x="236"/>
        <item x="1146"/>
        <item x="1147"/>
        <item x="1148"/>
        <item x="1149"/>
        <item x="237"/>
        <item x="238"/>
        <item x="1150"/>
        <item x="1151"/>
        <item x="239"/>
        <item x="552"/>
        <item x="1152"/>
        <item x="240"/>
        <item x="1153"/>
        <item x="241"/>
        <item x="1154"/>
        <item x="1155"/>
        <item x="1156"/>
        <item x="242"/>
        <item x="243"/>
        <item x="244"/>
        <item x="1157"/>
        <item x="245"/>
        <item x="246"/>
        <item x="247"/>
        <item x="1158"/>
        <item x="248"/>
        <item x="553"/>
        <item x="1159"/>
        <item x="1160"/>
        <item x="1161"/>
        <item x="249"/>
        <item x="250"/>
        <item x="251"/>
        <item x="252"/>
        <item x="253"/>
        <item x="1162"/>
        <item x="1163"/>
        <item x="1164"/>
        <item x="25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255"/>
        <item x="1179"/>
        <item x="1180"/>
        <item x="256"/>
        <item x="1181"/>
        <item x="1182"/>
        <item x="1183"/>
        <item x="1184"/>
        <item x="1185"/>
        <item x="1187"/>
        <item x="1186"/>
        <item x="1188"/>
        <item x="1189"/>
        <item x="1190"/>
        <item x="1191"/>
        <item x="257"/>
        <item x="554"/>
        <item x="1192"/>
        <item x="555"/>
        <item x="258"/>
        <item x="259"/>
        <item x="556"/>
        <item x="1193"/>
        <item x="1194"/>
        <item x="1195"/>
        <item x="557"/>
        <item x="1196"/>
        <item x="1197"/>
        <item x="260"/>
        <item x="558"/>
        <item x="261"/>
        <item x="262"/>
        <item x="263"/>
        <item x="1198"/>
        <item x="264"/>
        <item x="559"/>
        <item x="560"/>
        <item x="1199"/>
        <item x="1200"/>
        <item x="1201"/>
        <item x="1202"/>
        <item x="1203"/>
        <item x="561"/>
        <item x="1204"/>
        <item x="1205"/>
        <item x="1206"/>
        <item x="1207"/>
        <item x="1208"/>
        <item x="1209"/>
        <item x="1210"/>
        <item x="562"/>
        <item x="563"/>
        <item x="1211"/>
        <item x="265"/>
        <item x="266"/>
        <item x="1212"/>
        <item x="564"/>
        <item x="267"/>
        <item x="268"/>
        <item x="269"/>
        <item x="1213"/>
        <item x="270"/>
        <item x="1214"/>
        <item x="271"/>
        <item x="272"/>
        <item x="565"/>
        <item x="1215"/>
        <item x="1216"/>
        <item x="1217"/>
        <item x="273"/>
        <item x="274"/>
        <item x="275"/>
        <item x="276"/>
        <item x="277"/>
        <item x="1218"/>
        <item x="278"/>
        <item x="1219"/>
        <item x="1220"/>
        <item x="1221"/>
        <item x="1222"/>
        <item x="566"/>
        <item x="279"/>
        <item x="280"/>
        <item x="281"/>
        <item x="282"/>
        <item x="283"/>
        <item x="567"/>
        <item x="284"/>
        <item x="1223"/>
        <item x="1224"/>
        <item x="1225"/>
        <item x="1226"/>
        <item x="285"/>
        <item x="286"/>
        <item x="1227"/>
        <item x="1228"/>
        <item x="1229"/>
        <item x="1230"/>
        <item x="1231"/>
        <item x="1232"/>
        <item x="287"/>
        <item x="1233"/>
        <item x="1234"/>
        <item x="1235"/>
        <item x="568"/>
        <item x="569"/>
        <item x="288"/>
        <item x="289"/>
        <item x="290"/>
        <item x="291"/>
        <item x="292"/>
        <item x="293"/>
        <item x="1236"/>
        <item x="294"/>
        <item x="295"/>
        <item x="296"/>
        <item x="1237"/>
        <item x="1238"/>
        <item x="1239"/>
        <item x="1240"/>
        <item x="1241"/>
        <item x="1242"/>
        <item x="1243"/>
        <item x="297"/>
        <item x="1244"/>
        <item x="1245"/>
        <item x="1246"/>
        <item x="1247"/>
        <item x="1248"/>
        <item x="1249"/>
        <item x="570"/>
        <item x="1250"/>
        <item x="1251"/>
        <item x="1252"/>
        <item x="1253"/>
        <item x="1254"/>
        <item x="1255"/>
        <item x="1256"/>
        <item x="571"/>
        <item x="572"/>
        <item x="573"/>
        <item x="298"/>
        <item x="1257"/>
        <item x="1258"/>
        <item x="1259"/>
        <item x="574"/>
        <item x="575"/>
        <item x="299"/>
        <item x="1260"/>
        <item x="1261"/>
        <item x="1262"/>
        <item x="300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576"/>
        <item x="1276"/>
        <item x="1277"/>
        <item x="1278"/>
        <item x="1279"/>
        <item x="577"/>
        <item x="301"/>
        <item x="302"/>
        <item x="1280"/>
        <item x="578"/>
        <item x="579"/>
        <item x="580"/>
        <item x="1281"/>
        <item x="303"/>
        <item x="304"/>
        <item x="581"/>
        <item x="582"/>
        <item x="583"/>
        <item x="584"/>
        <item x="1282"/>
        <item x="305"/>
        <item x="585"/>
        <item x="586"/>
        <item x="587"/>
        <item x="588"/>
        <item x="589"/>
        <item x="1283"/>
        <item x="590"/>
        <item x="591"/>
        <item x="592"/>
        <item x="593"/>
        <item x="1284"/>
        <item x="594"/>
        <item x="595"/>
        <item x="306"/>
        <item x="307"/>
        <item x="308"/>
        <item x="309"/>
        <item x="310"/>
        <item x="311"/>
        <item x="1285"/>
        <item x="312"/>
        <item x="313"/>
        <item x="314"/>
        <item x="1286"/>
        <item x="1287"/>
        <item x="596"/>
        <item x="1288"/>
        <item x="315"/>
        <item x="1289"/>
        <item x="1290"/>
        <item x="316"/>
        <item x="597"/>
        <item x="1291"/>
        <item x="1292"/>
        <item x="317"/>
        <item x="318"/>
        <item x="319"/>
        <item x="1293"/>
        <item x="1294"/>
        <item x="1295"/>
        <item x="1296"/>
        <item x="320"/>
        <item x="598"/>
        <item x="321"/>
        <item x="1297"/>
        <item x="1298"/>
        <item x="322"/>
        <item x="1299"/>
        <item x="1300"/>
        <item x="1301"/>
        <item x="599"/>
        <item x="1302"/>
        <item x="1303"/>
        <item x="1304"/>
        <item x="1305"/>
        <item x="1306"/>
        <item t="default"/>
      </items>
    </pivotField>
    <pivotField showAll="0"/>
    <pivotField showAll="0"/>
    <pivotField>
      <items count="9">
        <item x="1"/>
        <item x="0"/>
        <item x="4"/>
        <item x="2"/>
        <item x="5"/>
        <item x="3"/>
        <item x="6"/>
        <item x="7"/>
        <item t="default"/>
      </items>
    </pivotField>
    <pivotField showAll="0"/>
    <pivotField showAll="0"/>
    <pivotField showAll="0"/>
    <pivotField showAll="0"/>
    <pivotField showAll="0" defaultSubtotal="0">
      <items count="7">
        <item x="4"/>
        <item x="5"/>
        <item x="2"/>
        <item x="3"/>
        <item x="6"/>
        <item x="1"/>
        <item x="0"/>
      </items>
    </pivotField>
    <pivotField axis="axisRow" dataField="1" showAll="0">
      <items count="6">
        <item x="0"/>
        <item x="1"/>
        <item x="3"/>
        <item h="1" x="2"/>
        <item m="1" x="4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Liczba z Name" fld="2" subtotal="count" baseField="0" baseItem="0"/>
    <dataField name="Liczba z Port of Embarkation" fld="11" subtotal="count" showDataAs="percentOfTotal" baseField="0" baseItem="0" numFmtId="10"/>
  </dataFields>
  <chartFormats count="26"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8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8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1"/>
          </reference>
          <reference field="11" count="1" selected="0">
            <x v="2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9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1"/>
          </reference>
          <reference field="11" count="1" selected="0">
            <x v="2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20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0" format="2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0" format="22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0" format="23">
      <pivotArea type="data" outline="0" fieldPosition="0">
        <references count="2">
          <reference field="4294967294" count="1" selected="0">
            <x v="1"/>
          </reference>
          <reference field="11" count="1" selected="0">
            <x v="0"/>
          </reference>
        </references>
      </pivotArea>
    </chartFormat>
    <chartFormat chart="20" format="24">
      <pivotArea type="data" outline="0" fieldPosition="0">
        <references count="2">
          <reference field="4294967294" count="1" selected="0">
            <x v="1"/>
          </reference>
          <reference field="11" count="1" selected="0">
            <x v="1"/>
          </reference>
        </references>
      </pivotArea>
    </chartFormat>
    <chartFormat chart="20" format="25">
      <pivotArea type="data" outline="0" fieldPosition="0">
        <references count="2">
          <reference field="4294967294" count="1" selected="0">
            <x v="1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Fragmentator_Survived?" sourceName="Survived?">
  <pivotTables>
    <pivotTable tabId="2" name="age brackets"/>
    <pivotTable tabId="2" name="age brackets vs port"/>
    <pivotTable tabId="2" name="age brackets vs sex"/>
    <pivotTable tabId="2" name="fare brackets"/>
    <pivotTable tabId="2" name="fare sum"/>
    <pivotTable tabId="2" name="family members vs age bracket"/>
    <pivotTable tabId="2" name="family members"/>
    <pivotTable tabId="2" name="port vs fare bracket"/>
  </pivotTables>
  <data>
    <tabular pivotCacheId="1">
      <items count="4">
        <i x="1" s="1"/>
        <i x="0" s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Fragmentator_Passenger_Class" sourceName="Passenger Class">
  <pivotTables>
    <pivotTable tabId="2" name="age brackets"/>
    <pivotTable tabId="2" name="age brackets vs port"/>
    <pivotTable tabId="2" name="age brackets vs sex"/>
    <pivotTable tabId="2" name="fare brackets"/>
    <pivotTable tabId="2" name="fare sum"/>
    <pivotTable tabId="2" name="family members vs age bracket"/>
    <pivotTable tabId="2" name="family members"/>
    <pivotTable tabId="2" name="port vs fare bracket"/>
  </pivotTables>
  <data>
    <tabular pivotCacheId="1">
      <items count="6">
        <i x="0" s="1"/>
        <i x="1" s="1"/>
        <i x="2" s="1"/>
        <i x="4" s="1" nd="1"/>
        <i x="5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urvived?" cache="Fragmentator_Survived?" caption="Survived?" columnCount="2" showCaption="0" style="SlicerStyleDark1 2" lockedPosition="1" rowHeight="241300"/>
  <slicer name="Passenger Class" cache="Fragmentator_Passenger_Class" caption="Passenger Class" columnCount="3" showCaption="0" style="SlicerStyleDark1 2" lockedPosition="1" rowHeight="241300"/>
</slicers>
</file>

<file path=xl/tables/table1.xml><?xml version="1.0" encoding="utf-8"?>
<table xmlns="http://schemas.openxmlformats.org/spreadsheetml/2006/main" id="1" name="Tabela1" displayName="Tabela1" ref="A1:L1310" totalsRowShown="0" headerRowDxfId="14" dataDxfId="13">
  <autoFilter ref="A1:L1310"/>
  <tableColumns count="12">
    <tableColumn id="1" name="Passenger Class" dataDxfId="12"/>
    <tableColumn id="2" name="Survived?" dataDxfId="11"/>
    <tableColumn id="3" name="Name" dataDxfId="10"/>
    <tableColumn id="4" name="Sex" dataDxfId="9"/>
    <tableColumn id="5" name="Age" dataDxfId="8"/>
    <tableColumn id="17" name="Age Brackets" dataDxfId="7">
      <calculatedColumnFormula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calculatedColumnFormula>
    </tableColumn>
    <tableColumn id="6" name="Siblings and Spouses" dataDxfId="6"/>
    <tableColumn id="7" name="Parents and Children" dataDxfId="5"/>
    <tableColumn id="15" name="Family Members" dataDxfId="4">
      <calculatedColumnFormula>Tabela1[[#This Row],[Siblings and Spouses]]+Tabela1[[#This Row],[Parents and Children]]</calculatedColumnFormula>
    </tableColumn>
    <tableColumn id="9" name="Fare" dataDxfId="3"/>
    <tableColumn id="8" name="Fare Brackets" dataDxfId="2">
      <calculatedColumnFormula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calculatedColumnFormula>
    </tableColumn>
    <tableColumn id="11" name="Port of Embarkation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aggle.com/datasets/vinicius150987/titanic3" TargetMode="Externa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O1310"/>
  <sheetViews>
    <sheetView workbookViewId="0">
      <selection activeCell="L38" sqref="L38"/>
    </sheetView>
  </sheetViews>
  <sheetFormatPr defaultRowHeight="15" x14ac:dyDescent="0.25"/>
  <cols>
    <col min="1" max="1" width="17.5703125" customWidth="1"/>
    <col min="2" max="2" width="12.42578125" customWidth="1"/>
    <col min="3" max="3" width="19.42578125" customWidth="1"/>
    <col min="4" max="4" width="8.7109375" bestFit="1" customWidth="1"/>
    <col min="5" max="5" width="9" bestFit="1" customWidth="1"/>
    <col min="6" max="6" width="14.85546875" customWidth="1"/>
    <col min="7" max="7" width="21.7109375" customWidth="1"/>
    <col min="8" max="8" width="22.140625" customWidth="1"/>
    <col min="9" max="9" width="18.28515625" customWidth="1"/>
    <col min="10" max="10" width="9.42578125" style="4" bestFit="1" customWidth="1"/>
    <col min="11" max="11" width="14" style="4" customWidth="1"/>
    <col min="12" max="12" width="21.42578125" customWidth="1"/>
  </cols>
  <sheetData>
    <row r="1" spans="1:15" x14ac:dyDescent="0.25">
      <c r="A1" s="9" t="s">
        <v>1308</v>
      </c>
      <c r="B1" s="9" t="s">
        <v>1309</v>
      </c>
      <c r="C1" s="9" t="s">
        <v>1310</v>
      </c>
      <c r="D1" s="9" t="s">
        <v>1311</v>
      </c>
      <c r="E1" s="9" t="s">
        <v>1312</v>
      </c>
      <c r="F1" s="9" t="s">
        <v>1322</v>
      </c>
      <c r="G1" s="9" t="s">
        <v>1313</v>
      </c>
      <c r="H1" s="9" t="s">
        <v>1314</v>
      </c>
      <c r="I1" s="9" t="s">
        <v>1317</v>
      </c>
      <c r="J1" s="10" t="s">
        <v>1315</v>
      </c>
      <c r="K1" s="10" t="s">
        <v>1339</v>
      </c>
      <c r="L1" s="11" t="s">
        <v>1316</v>
      </c>
    </row>
    <row r="2" spans="1:15" x14ac:dyDescent="0.25">
      <c r="A2" s="1" t="s">
        <v>1349</v>
      </c>
      <c r="B2" s="1" t="s">
        <v>1337</v>
      </c>
      <c r="C2" s="1" t="s">
        <v>0</v>
      </c>
      <c r="D2" s="1" t="s">
        <v>1320</v>
      </c>
      <c r="E2" s="1">
        <v>29</v>
      </c>
      <c r="F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" s="1">
        <v>0</v>
      </c>
      <c r="H2" s="1">
        <v>0</v>
      </c>
      <c r="I2" s="1">
        <f>Tabela1[[#This Row],[Siblings and Spouses]]+Tabela1[[#This Row],[Parents and Children]]</f>
        <v>0</v>
      </c>
      <c r="J2" s="3">
        <v>211.33750000000001</v>
      </c>
      <c r="K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" s="2" t="s">
        <v>396</v>
      </c>
    </row>
    <row r="3" spans="1:15" x14ac:dyDescent="0.25">
      <c r="A3" s="1" t="s">
        <v>1349</v>
      </c>
      <c r="B3" s="1" t="s">
        <v>1337</v>
      </c>
      <c r="C3" s="1" t="s">
        <v>1</v>
      </c>
      <c r="D3" s="1" t="s">
        <v>1321</v>
      </c>
      <c r="E3" s="1">
        <v>0.91669999999999996</v>
      </c>
      <c r="F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" s="1">
        <v>1</v>
      </c>
      <c r="H3" s="1">
        <v>2</v>
      </c>
      <c r="I3" s="1">
        <f>Tabela1[[#This Row],[Siblings and Spouses]]+Tabela1[[#This Row],[Parents and Children]]</f>
        <v>3</v>
      </c>
      <c r="J3" s="3">
        <v>151.55000000000001</v>
      </c>
      <c r="K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3" s="2" t="s">
        <v>396</v>
      </c>
    </row>
    <row r="4" spans="1:15" x14ac:dyDescent="0.25">
      <c r="A4" s="1" t="s">
        <v>1349</v>
      </c>
      <c r="B4" s="1" t="s">
        <v>1348</v>
      </c>
      <c r="C4" s="1" t="s">
        <v>2</v>
      </c>
      <c r="D4" s="1" t="s">
        <v>1320</v>
      </c>
      <c r="E4" s="1">
        <v>2</v>
      </c>
      <c r="F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" s="1">
        <v>1</v>
      </c>
      <c r="H4" s="1">
        <v>2</v>
      </c>
      <c r="I4" s="1">
        <f>Tabela1[[#This Row],[Siblings and Spouses]]+Tabela1[[#This Row],[Parents and Children]]</f>
        <v>3</v>
      </c>
      <c r="J4" s="3">
        <v>151.55000000000001</v>
      </c>
      <c r="K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4" s="2" t="s">
        <v>396</v>
      </c>
    </row>
    <row r="5" spans="1:15" x14ac:dyDescent="0.25">
      <c r="A5" s="1" t="s">
        <v>1349</v>
      </c>
      <c r="B5" s="1" t="s">
        <v>1348</v>
      </c>
      <c r="C5" s="1" t="s">
        <v>3</v>
      </c>
      <c r="D5" s="1" t="s">
        <v>1321</v>
      </c>
      <c r="E5" s="1">
        <v>30</v>
      </c>
      <c r="F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" s="1">
        <v>1</v>
      </c>
      <c r="H5" s="1">
        <v>2</v>
      </c>
      <c r="I5" s="1">
        <f>Tabela1[[#This Row],[Siblings and Spouses]]+Tabela1[[#This Row],[Parents and Children]]</f>
        <v>3</v>
      </c>
      <c r="J5" s="3">
        <v>151.55000000000001</v>
      </c>
      <c r="K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5" s="2" t="s">
        <v>396</v>
      </c>
      <c r="O5" t="s">
        <v>1335</v>
      </c>
    </row>
    <row r="6" spans="1:15" x14ac:dyDescent="0.25">
      <c r="A6" s="1" t="s">
        <v>1349</v>
      </c>
      <c r="B6" s="1" t="s">
        <v>1348</v>
      </c>
      <c r="C6" s="1" t="s">
        <v>4</v>
      </c>
      <c r="D6" s="1" t="s">
        <v>1320</v>
      </c>
      <c r="E6" s="1">
        <v>25</v>
      </c>
      <c r="F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" s="1">
        <v>1</v>
      </c>
      <c r="H6" s="1">
        <v>2</v>
      </c>
      <c r="I6" s="1">
        <f>Tabela1[[#This Row],[Siblings and Spouses]]+Tabela1[[#This Row],[Parents and Children]]</f>
        <v>3</v>
      </c>
      <c r="J6" s="3">
        <v>151.55000000000001</v>
      </c>
      <c r="K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6" s="2" t="s">
        <v>396</v>
      </c>
    </row>
    <row r="7" spans="1:15" x14ac:dyDescent="0.25">
      <c r="A7" s="1" t="s">
        <v>1349</v>
      </c>
      <c r="B7" s="1" t="s">
        <v>1337</v>
      </c>
      <c r="C7" s="1" t="s">
        <v>5</v>
      </c>
      <c r="D7" s="1" t="s">
        <v>1321</v>
      </c>
      <c r="E7" s="1">
        <v>48</v>
      </c>
      <c r="F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" s="1">
        <v>0</v>
      </c>
      <c r="H7" s="1">
        <v>0</v>
      </c>
      <c r="I7" s="1">
        <f>Tabela1[[#This Row],[Siblings and Spouses]]+Tabela1[[#This Row],[Parents and Children]]</f>
        <v>0</v>
      </c>
      <c r="J7" s="3">
        <v>26.55</v>
      </c>
      <c r="K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7" s="2" t="s">
        <v>396</v>
      </c>
    </row>
    <row r="8" spans="1:15" x14ac:dyDescent="0.25">
      <c r="A8" s="1" t="s">
        <v>1349</v>
      </c>
      <c r="B8" s="1" t="s">
        <v>1337</v>
      </c>
      <c r="C8" s="1" t="s">
        <v>6</v>
      </c>
      <c r="D8" s="1" t="s">
        <v>1320</v>
      </c>
      <c r="E8" s="1">
        <v>63</v>
      </c>
      <c r="F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8" s="1">
        <v>1</v>
      </c>
      <c r="H8" s="1">
        <v>0</v>
      </c>
      <c r="I8" s="1">
        <f>Tabela1[[#This Row],[Siblings and Spouses]]+Tabela1[[#This Row],[Parents and Children]]</f>
        <v>1</v>
      </c>
      <c r="J8" s="3">
        <v>77.958299999999994</v>
      </c>
      <c r="K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" s="2" t="s">
        <v>396</v>
      </c>
    </row>
    <row r="9" spans="1:15" x14ac:dyDescent="0.25">
      <c r="A9" s="1" t="s">
        <v>1349</v>
      </c>
      <c r="B9" s="1" t="s">
        <v>1348</v>
      </c>
      <c r="C9" s="1" t="s">
        <v>7</v>
      </c>
      <c r="D9" s="1" t="s">
        <v>1321</v>
      </c>
      <c r="E9" s="1">
        <v>39</v>
      </c>
      <c r="F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" s="1">
        <v>0</v>
      </c>
      <c r="H9" s="1">
        <v>0</v>
      </c>
      <c r="I9" s="1">
        <f>Tabela1[[#This Row],[Siblings and Spouses]]+Tabela1[[#This Row],[Parents and Children]]</f>
        <v>0</v>
      </c>
      <c r="J9" s="3">
        <v>0</v>
      </c>
      <c r="K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" s="2" t="s">
        <v>396</v>
      </c>
    </row>
    <row r="10" spans="1:15" x14ac:dyDescent="0.25">
      <c r="A10" s="1" t="s">
        <v>1349</v>
      </c>
      <c r="B10" s="1" t="s">
        <v>1337</v>
      </c>
      <c r="C10" s="1" t="s">
        <v>8</v>
      </c>
      <c r="D10" s="1" t="s">
        <v>1320</v>
      </c>
      <c r="E10" s="1">
        <v>53</v>
      </c>
      <c r="F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0" s="1">
        <v>2</v>
      </c>
      <c r="H10" s="1">
        <v>0</v>
      </c>
      <c r="I10" s="1">
        <f>Tabela1[[#This Row],[Siblings and Spouses]]+Tabela1[[#This Row],[Parents and Children]]</f>
        <v>2</v>
      </c>
      <c r="J10" s="3">
        <v>51.479199999999999</v>
      </c>
      <c r="K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0" s="2" t="s">
        <v>396</v>
      </c>
    </row>
    <row r="11" spans="1:15" x14ac:dyDescent="0.25">
      <c r="A11" s="1" t="s">
        <v>1349</v>
      </c>
      <c r="B11" s="1" t="s">
        <v>1348</v>
      </c>
      <c r="C11" s="1" t="s">
        <v>9</v>
      </c>
      <c r="D11" s="1" t="s">
        <v>1321</v>
      </c>
      <c r="E11" s="1">
        <v>71</v>
      </c>
      <c r="F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11" s="1">
        <v>0</v>
      </c>
      <c r="H11" s="1">
        <v>0</v>
      </c>
      <c r="I11" s="1">
        <f>Tabela1[[#This Row],[Siblings and Spouses]]+Tabela1[[#This Row],[Parents and Children]]</f>
        <v>0</v>
      </c>
      <c r="J11" s="3">
        <v>49.504199999999997</v>
      </c>
      <c r="K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" s="2" t="s">
        <v>1318</v>
      </c>
    </row>
    <row r="12" spans="1:15" x14ac:dyDescent="0.25">
      <c r="A12" s="1" t="s">
        <v>1349</v>
      </c>
      <c r="B12" s="1" t="s">
        <v>1348</v>
      </c>
      <c r="C12" s="1" t="s">
        <v>10</v>
      </c>
      <c r="D12" s="1" t="s">
        <v>1321</v>
      </c>
      <c r="E12" s="1">
        <v>47</v>
      </c>
      <c r="F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" s="1">
        <v>1</v>
      </c>
      <c r="H12" s="1">
        <v>0</v>
      </c>
      <c r="I12" s="1">
        <f>Tabela1[[#This Row],[Siblings and Spouses]]+Tabela1[[#This Row],[Parents and Children]]</f>
        <v>1</v>
      </c>
      <c r="J12" s="3">
        <v>227.52500000000001</v>
      </c>
      <c r="K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2" s="2" t="s">
        <v>1318</v>
      </c>
    </row>
    <row r="13" spans="1:15" x14ac:dyDescent="0.25">
      <c r="A13" s="1" t="s">
        <v>1349</v>
      </c>
      <c r="B13" s="1" t="s">
        <v>1337</v>
      </c>
      <c r="C13" s="1" t="s">
        <v>11</v>
      </c>
      <c r="D13" s="1" t="s">
        <v>1320</v>
      </c>
      <c r="E13" s="1">
        <v>18</v>
      </c>
      <c r="F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3" s="1">
        <v>1</v>
      </c>
      <c r="H13" s="1">
        <v>0</v>
      </c>
      <c r="I13" s="1">
        <f>Tabela1[[#This Row],[Siblings and Spouses]]+Tabela1[[#This Row],[Parents and Children]]</f>
        <v>1</v>
      </c>
      <c r="J13" s="3">
        <v>227.52500000000001</v>
      </c>
      <c r="K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3" s="2" t="s">
        <v>1318</v>
      </c>
    </row>
    <row r="14" spans="1:15" x14ac:dyDescent="0.25">
      <c r="A14" s="1" t="s">
        <v>1349</v>
      </c>
      <c r="B14" s="1" t="s">
        <v>1337</v>
      </c>
      <c r="C14" s="1" t="s">
        <v>12</v>
      </c>
      <c r="D14" s="1" t="s">
        <v>1320</v>
      </c>
      <c r="E14" s="1">
        <v>24</v>
      </c>
      <c r="F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4" s="1">
        <v>0</v>
      </c>
      <c r="H14" s="1">
        <v>0</v>
      </c>
      <c r="I14" s="1">
        <f>Tabela1[[#This Row],[Siblings and Spouses]]+Tabela1[[#This Row],[Parents and Children]]</f>
        <v>0</v>
      </c>
      <c r="J14" s="3">
        <v>69.3</v>
      </c>
      <c r="K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" s="2" t="s">
        <v>1318</v>
      </c>
    </row>
    <row r="15" spans="1:15" x14ac:dyDescent="0.25">
      <c r="A15" s="1" t="s">
        <v>1349</v>
      </c>
      <c r="B15" s="1" t="s">
        <v>1337</v>
      </c>
      <c r="C15" s="1" t="s">
        <v>13</v>
      </c>
      <c r="D15" s="1" t="s">
        <v>1320</v>
      </c>
      <c r="E15" s="1">
        <v>26</v>
      </c>
      <c r="F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5" s="1">
        <v>0</v>
      </c>
      <c r="H15" s="1">
        <v>0</v>
      </c>
      <c r="I15" s="1">
        <f>Tabela1[[#This Row],[Siblings and Spouses]]+Tabela1[[#This Row],[Parents and Children]]</f>
        <v>0</v>
      </c>
      <c r="J15" s="3">
        <v>78.849999999999994</v>
      </c>
      <c r="K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" s="2" t="s">
        <v>396</v>
      </c>
    </row>
    <row r="16" spans="1:15" x14ac:dyDescent="0.25">
      <c r="A16" s="1" t="s">
        <v>1349</v>
      </c>
      <c r="B16" s="1" t="s">
        <v>1337</v>
      </c>
      <c r="C16" s="1" t="s">
        <v>14</v>
      </c>
      <c r="D16" s="1" t="s">
        <v>1321</v>
      </c>
      <c r="E16" s="1">
        <v>80</v>
      </c>
      <c r="F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16" s="1">
        <v>0</v>
      </c>
      <c r="H16" s="1">
        <v>0</v>
      </c>
      <c r="I16" s="1">
        <f>Tabela1[[#This Row],[Siblings and Spouses]]+Tabela1[[#This Row],[Parents and Children]]</f>
        <v>0</v>
      </c>
      <c r="J16" s="3">
        <v>30</v>
      </c>
      <c r="K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6" s="2" t="s">
        <v>396</v>
      </c>
    </row>
    <row r="17" spans="1:12" x14ac:dyDescent="0.25">
      <c r="A17" s="1" t="s">
        <v>1349</v>
      </c>
      <c r="B17" s="1" t="s">
        <v>1348</v>
      </c>
      <c r="C17" s="1" t="s">
        <v>15</v>
      </c>
      <c r="D17" s="1" t="s">
        <v>1321</v>
      </c>
      <c r="E17" s="1" t="s">
        <v>1323</v>
      </c>
      <c r="F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7" s="1">
        <v>0</v>
      </c>
      <c r="H17" s="1">
        <v>0</v>
      </c>
      <c r="I17" s="1">
        <f>Tabela1[[#This Row],[Siblings and Spouses]]+Tabela1[[#This Row],[Parents and Children]]</f>
        <v>0</v>
      </c>
      <c r="J17" s="3">
        <v>25.925000000000001</v>
      </c>
      <c r="K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7" s="2" t="s">
        <v>396</v>
      </c>
    </row>
    <row r="18" spans="1:12" x14ac:dyDescent="0.25">
      <c r="A18" s="1" t="s">
        <v>1349</v>
      </c>
      <c r="B18" s="1" t="s">
        <v>1348</v>
      </c>
      <c r="C18" s="1" t="s">
        <v>16</v>
      </c>
      <c r="D18" s="1" t="s">
        <v>1321</v>
      </c>
      <c r="E18" s="1">
        <v>24</v>
      </c>
      <c r="F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8" s="1">
        <v>0</v>
      </c>
      <c r="H18" s="1">
        <v>1</v>
      </c>
      <c r="I18" s="1">
        <f>Tabela1[[#This Row],[Siblings and Spouses]]+Tabela1[[#This Row],[Parents and Children]]</f>
        <v>1</v>
      </c>
      <c r="J18" s="3">
        <v>247.52080000000001</v>
      </c>
      <c r="K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8" s="2" t="s">
        <v>1318</v>
      </c>
    </row>
    <row r="19" spans="1:12" x14ac:dyDescent="0.25">
      <c r="A19" s="1" t="s">
        <v>1349</v>
      </c>
      <c r="B19" s="1" t="s">
        <v>1337</v>
      </c>
      <c r="C19" s="1" t="s">
        <v>17</v>
      </c>
      <c r="D19" s="1" t="s">
        <v>1320</v>
      </c>
      <c r="E19" s="1">
        <v>50</v>
      </c>
      <c r="F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9" s="1">
        <v>0</v>
      </c>
      <c r="H19" s="1">
        <v>1</v>
      </c>
      <c r="I19" s="1">
        <f>Tabela1[[#This Row],[Siblings and Spouses]]+Tabela1[[#This Row],[Parents and Children]]</f>
        <v>1</v>
      </c>
      <c r="J19" s="3">
        <v>247.52080000000001</v>
      </c>
      <c r="K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9" s="2" t="s">
        <v>1318</v>
      </c>
    </row>
    <row r="20" spans="1:12" x14ac:dyDescent="0.25">
      <c r="A20" s="1" t="s">
        <v>1349</v>
      </c>
      <c r="B20" s="1" t="s">
        <v>1337</v>
      </c>
      <c r="C20" s="1" t="s">
        <v>18</v>
      </c>
      <c r="D20" s="1" t="s">
        <v>1320</v>
      </c>
      <c r="E20" s="1">
        <v>32</v>
      </c>
      <c r="F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0" s="1">
        <v>0</v>
      </c>
      <c r="H20" s="1">
        <v>0</v>
      </c>
      <c r="I20" s="1">
        <f>Tabela1[[#This Row],[Siblings and Spouses]]+Tabela1[[#This Row],[Parents and Children]]</f>
        <v>0</v>
      </c>
      <c r="J20" s="3">
        <v>76.291700000000006</v>
      </c>
      <c r="K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" s="2" t="s">
        <v>1318</v>
      </c>
    </row>
    <row r="21" spans="1:12" x14ac:dyDescent="0.25">
      <c r="A21" s="1" t="s">
        <v>1349</v>
      </c>
      <c r="B21" s="1" t="s">
        <v>1348</v>
      </c>
      <c r="C21" s="1" t="s">
        <v>19</v>
      </c>
      <c r="D21" s="1" t="s">
        <v>1321</v>
      </c>
      <c r="E21" s="1">
        <v>36</v>
      </c>
      <c r="F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1" s="1">
        <v>0</v>
      </c>
      <c r="H21" s="1">
        <v>0</v>
      </c>
      <c r="I21" s="1">
        <f>Tabela1[[#This Row],[Siblings and Spouses]]+Tabela1[[#This Row],[Parents and Children]]</f>
        <v>0</v>
      </c>
      <c r="J21" s="3">
        <v>75.241699999999994</v>
      </c>
      <c r="K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1" s="2" t="s">
        <v>1318</v>
      </c>
    </row>
    <row r="22" spans="1:12" x14ac:dyDescent="0.25">
      <c r="A22" s="1" t="s">
        <v>1349</v>
      </c>
      <c r="B22" s="1" t="s">
        <v>1337</v>
      </c>
      <c r="C22" s="1" t="s">
        <v>20</v>
      </c>
      <c r="D22" s="1" t="s">
        <v>1321</v>
      </c>
      <c r="E22" s="1">
        <v>37</v>
      </c>
      <c r="F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2" s="1">
        <v>1</v>
      </c>
      <c r="H22" s="1">
        <v>1</v>
      </c>
      <c r="I22" s="1">
        <f>Tabela1[[#This Row],[Siblings and Spouses]]+Tabela1[[#This Row],[Parents and Children]]</f>
        <v>2</v>
      </c>
      <c r="J22" s="3">
        <v>52.554200000000002</v>
      </c>
      <c r="K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2" s="2" t="s">
        <v>396</v>
      </c>
    </row>
    <row r="23" spans="1:12" x14ac:dyDescent="0.25">
      <c r="A23" s="1" t="s">
        <v>1349</v>
      </c>
      <c r="B23" s="1" t="s">
        <v>1337</v>
      </c>
      <c r="C23" s="1" t="s">
        <v>21</v>
      </c>
      <c r="D23" s="1" t="s">
        <v>1320</v>
      </c>
      <c r="E23" s="1">
        <v>47</v>
      </c>
      <c r="F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3" s="1">
        <v>1</v>
      </c>
      <c r="H23" s="1">
        <v>1</v>
      </c>
      <c r="I23" s="1">
        <f>Tabela1[[#This Row],[Siblings and Spouses]]+Tabela1[[#This Row],[Parents and Children]]</f>
        <v>2</v>
      </c>
      <c r="J23" s="3">
        <v>52.554200000000002</v>
      </c>
      <c r="K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3" s="2" t="s">
        <v>396</v>
      </c>
    </row>
    <row r="24" spans="1:12" x14ac:dyDescent="0.25">
      <c r="A24" s="1" t="s">
        <v>1349</v>
      </c>
      <c r="B24" s="1" t="s">
        <v>1337</v>
      </c>
      <c r="C24" s="1" t="s">
        <v>22</v>
      </c>
      <c r="D24" s="1" t="s">
        <v>1321</v>
      </c>
      <c r="E24" s="1">
        <v>26</v>
      </c>
      <c r="F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4" s="1">
        <v>0</v>
      </c>
      <c r="H24" s="1">
        <v>0</v>
      </c>
      <c r="I24" s="1">
        <f>Tabela1[[#This Row],[Siblings and Spouses]]+Tabela1[[#This Row],[Parents and Children]]</f>
        <v>0</v>
      </c>
      <c r="J24" s="3">
        <v>30</v>
      </c>
      <c r="K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4" s="2" t="s">
        <v>1318</v>
      </c>
    </row>
    <row r="25" spans="1:12" x14ac:dyDescent="0.25">
      <c r="A25" s="1" t="s">
        <v>1349</v>
      </c>
      <c r="B25" s="1" t="s">
        <v>1337</v>
      </c>
      <c r="C25" s="1" t="s">
        <v>23</v>
      </c>
      <c r="D25" s="1" t="s">
        <v>1320</v>
      </c>
      <c r="E25" s="1">
        <v>42</v>
      </c>
      <c r="F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5" s="1">
        <v>0</v>
      </c>
      <c r="H25" s="1">
        <v>0</v>
      </c>
      <c r="I25" s="1">
        <f>Tabela1[[#This Row],[Siblings and Spouses]]+Tabela1[[#This Row],[Parents and Children]]</f>
        <v>0</v>
      </c>
      <c r="J25" s="3">
        <v>227.52500000000001</v>
      </c>
      <c r="K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5" s="2" t="s">
        <v>1318</v>
      </c>
    </row>
    <row r="26" spans="1:12" x14ac:dyDescent="0.25">
      <c r="A26" s="1" t="s">
        <v>1349</v>
      </c>
      <c r="B26" s="1" t="s">
        <v>1337</v>
      </c>
      <c r="C26" s="1" t="s">
        <v>24</v>
      </c>
      <c r="D26" s="1" t="s">
        <v>1320</v>
      </c>
      <c r="E26" s="1">
        <v>29</v>
      </c>
      <c r="F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6" s="1">
        <v>0</v>
      </c>
      <c r="H26" s="1">
        <v>0</v>
      </c>
      <c r="I26" s="1">
        <f>Tabela1[[#This Row],[Siblings and Spouses]]+Tabela1[[#This Row],[Parents and Children]]</f>
        <v>0</v>
      </c>
      <c r="J26" s="3">
        <v>221.7792</v>
      </c>
      <c r="K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6" s="2" t="s">
        <v>396</v>
      </c>
    </row>
    <row r="27" spans="1:12" x14ac:dyDescent="0.25">
      <c r="A27" s="1" t="s">
        <v>1349</v>
      </c>
      <c r="B27" s="1" t="s">
        <v>1348</v>
      </c>
      <c r="C27" s="1" t="s">
        <v>25</v>
      </c>
      <c r="D27" s="1" t="s">
        <v>1321</v>
      </c>
      <c r="E27" s="1">
        <v>25</v>
      </c>
      <c r="F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7" s="1">
        <v>0</v>
      </c>
      <c r="H27" s="1">
        <v>0</v>
      </c>
      <c r="I27" s="1">
        <f>Tabela1[[#This Row],[Siblings and Spouses]]+Tabela1[[#This Row],[Parents and Children]]</f>
        <v>0</v>
      </c>
      <c r="J27" s="3">
        <v>26</v>
      </c>
      <c r="K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7" s="2" t="s">
        <v>1318</v>
      </c>
    </row>
    <row r="28" spans="1:12" x14ac:dyDescent="0.25">
      <c r="A28" s="1" t="s">
        <v>1349</v>
      </c>
      <c r="B28" s="1" t="s">
        <v>1337</v>
      </c>
      <c r="C28" s="1" t="s">
        <v>26</v>
      </c>
      <c r="D28" s="1" t="s">
        <v>1321</v>
      </c>
      <c r="E28" s="1">
        <v>25</v>
      </c>
      <c r="F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8" s="1">
        <v>1</v>
      </c>
      <c r="H28" s="1">
        <v>0</v>
      </c>
      <c r="I28" s="1">
        <f>Tabela1[[#This Row],[Siblings and Spouses]]+Tabela1[[#This Row],[Parents and Children]]</f>
        <v>1</v>
      </c>
      <c r="J28" s="3">
        <v>91.0792</v>
      </c>
      <c r="K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8" s="2" t="s">
        <v>1318</v>
      </c>
    </row>
    <row r="29" spans="1:12" x14ac:dyDescent="0.25">
      <c r="A29" s="1" t="s">
        <v>1349</v>
      </c>
      <c r="B29" s="1" t="s">
        <v>1337</v>
      </c>
      <c r="C29" s="1" t="s">
        <v>27</v>
      </c>
      <c r="D29" s="1" t="s">
        <v>1320</v>
      </c>
      <c r="E29" s="1">
        <v>19</v>
      </c>
      <c r="F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9" s="1">
        <v>1</v>
      </c>
      <c r="H29" s="1">
        <v>0</v>
      </c>
      <c r="I29" s="1">
        <f>Tabela1[[#This Row],[Siblings and Spouses]]+Tabela1[[#This Row],[Parents and Children]]</f>
        <v>1</v>
      </c>
      <c r="J29" s="3">
        <v>91.0792</v>
      </c>
      <c r="K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" s="2" t="s">
        <v>1318</v>
      </c>
    </row>
    <row r="30" spans="1:12" x14ac:dyDescent="0.25">
      <c r="A30" s="1" t="s">
        <v>1349</v>
      </c>
      <c r="B30" s="1" t="s">
        <v>1337</v>
      </c>
      <c r="C30" s="1" t="s">
        <v>28</v>
      </c>
      <c r="D30" s="1" t="s">
        <v>1320</v>
      </c>
      <c r="E30" s="1">
        <v>35</v>
      </c>
      <c r="F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0" s="1">
        <v>0</v>
      </c>
      <c r="H30" s="1">
        <v>0</v>
      </c>
      <c r="I30" s="1">
        <f>Tabela1[[#This Row],[Siblings and Spouses]]+Tabela1[[#This Row],[Parents and Children]]</f>
        <v>0</v>
      </c>
      <c r="J30" s="3">
        <v>135.63329999999999</v>
      </c>
      <c r="K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30" s="2" t="s">
        <v>396</v>
      </c>
    </row>
    <row r="31" spans="1:12" x14ac:dyDescent="0.25">
      <c r="A31" s="1" t="s">
        <v>1349</v>
      </c>
      <c r="B31" s="1" t="s">
        <v>1337</v>
      </c>
      <c r="C31" s="1" t="s">
        <v>29</v>
      </c>
      <c r="D31" s="1" t="s">
        <v>1321</v>
      </c>
      <c r="E31" s="1">
        <v>28</v>
      </c>
      <c r="F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1" s="1">
        <v>0</v>
      </c>
      <c r="H31" s="1">
        <v>0</v>
      </c>
      <c r="I31" s="1">
        <f>Tabela1[[#This Row],[Siblings and Spouses]]+Tabela1[[#This Row],[Parents and Children]]</f>
        <v>0</v>
      </c>
      <c r="J31" s="3">
        <v>26.55</v>
      </c>
      <c r="K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1" s="2" t="s">
        <v>396</v>
      </c>
    </row>
    <row r="32" spans="1:12" x14ac:dyDescent="0.25">
      <c r="A32" s="1" t="s">
        <v>1349</v>
      </c>
      <c r="B32" s="1" t="s">
        <v>1348</v>
      </c>
      <c r="C32" s="1" t="s">
        <v>30</v>
      </c>
      <c r="D32" s="1" t="s">
        <v>1321</v>
      </c>
      <c r="E32" s="1">
        <v>45</v>
      </c>
      <c r="F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2" s="1">
        <v>0</v>
      </c>
      <c r="H32" s="1">
        <v>0</v>
      </c>
      <c r="I32" s="1">
        <f>Tabela1[[#This Row],[Siblings and Spouses]]+Tabela1[[#This Row],[Parents and Children]]</f>
        <v>0</v>
      </c>
      <c r="J32" s="3">
        <v>35.5</v>
      </c>
      <c r="K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2" s="2" t="s">
        <v>396</v>
      </c>
    </row>
    <row r="33" spans="1:12" x14ac:dyDescent="0.25">
      <c r="A33" s="1" t="s">
        <v>1349</v>
      </c>
      <c r="B33" s="1" t="s">
        <v>1337</v>
      </c>
      <c r="C33" s="1" t="s">
        <v>31</v>
      </c>
      <c r="D33" s="1" t="s">
        <v>1321</v>
      </c>
      <c r="E33" s="1">
        <v>40</v>
      </c>
      <c r="F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3" s="1">
        <v>0</v>
      </c>
      <c r="H33" s="1">
        <v>0</v>
      </c>
      <c r="I33" s="1">
        <f>Tabela1[[#This Row],[Siblings and Spouses]]+Tabela1[[#This Row],[Parents and Children]]</f>
        <v>0</v>
      </c>
      <c r="J33" s="3">
        <v>31</v>
      </c>
      <c r="K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3" s="2" t="s">
        <v>1318</v>
      </c>
    </row>
    <row r="34" spans="1:12" x14ac:dyDescent="0.25">
      <c r="A34" s="1" t="s">
        <v>1349</v>
      </c>
      <c r="B34" s="1" t="s">
        <v>1337</v>
      </c>
      <c r="C34" s="1" t="s">
        <v>32</v>
      </c>
      <c r="D34" s="1" t="s">
        <v>1320</v>
      </c>
      <c r="E34" s="1">
        <v>30</v>
      </c>
      <c r="F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4" s="1">
        <v>0</v>
      </c>
      <c r="H34" s="1">
        <v>0</v>
      </c>
      <c r="I34" s="1">
        <f>Tabela1[[#This Row],[Siblings and Spouses]]+Tabela1[[#This Row],[Parents and Children]]</f>
        <v>0</v>
      </c>
      <c r="J34" s="3">
        <v>164.86670000000001</v>
      </c>
      <c r="K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34" s="2" t="s">
        <v>396</v>
      </c>
    </row>
    <row r="35" spans="1:12" x14ac:dyDescent="0.25">
      <c r="A35" s="1" t="s">
        <v>1349</v>
      </c>
      <c r="B35" s="1" t="s">
        <v>1337</v>
      </c>
      <c r="C35" s="1" t="s">
        <v>33</v>
      </c>
      <c r="D35" s="1" t="s">
        <v>1320</v>
      </c>
      <c r="E35" s="1">
        <v>58</v>
      </c>
      <c r="F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5" s="1">
        <v>0</v>
      </c>
      <c r="H35" s="1">
        <v>0</v>
      </c>
      <c r="I35" s="1">
        <f>Tabela1[[#This Row],[Siblings and Spouses]]+Tabela1[[#This Row],[Parents and Children]]</f>
        <v>0</v>
      </c>
      <c r="J35" s="3">
        <v>26.55</v>
      </c>
      <c r="K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5" s="2" t="s">
        <v>396</v>
      </c>
    </row>
    <row r="36" spans="1:12" x14ac:dyDescent="0.25">
      <c r="A36" s="1" t="s">
        <v>1349</v>
      </c>
      <c r="B36" s="1" t="s">
        <v>1348</v>
      </c>
      <c r="C36" s="1" t="s">
        <v>34</v>
      </c>
      <c r="D36" s="1" t="s">
        <v>1321</v>
      </c>
      <c r="E36" s="1">
        <v>42</v>
      </c>
      <c r="F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6" s="1">
        <v>0</v>
      </c>
      <c r="H36" s="1">
        <v>0</v>
      </c>
      <c r="I36" s="1">
        <f>Tabela1[[#This Row],[Siblings and Spouses]]+Tabela1[[#This Row],[Parents and Children]]</f>
        <v>0</v>
      </c>
      <c r="J36" s="3">
        <v>26.55</v>
      </c>
      <c r="K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6" s="2" t="s">
        <v>396</v>
      </c>
    </row>
    <row r="37" spans="1:12" x14ac:dyDescent="0.25">
      <c r="A37" s="1" t="s">
        <v>1349</v>
      </c>
      <c r="B37" s="1" t="s">
        <v>1337</v>
      </c>
      <c r="C37" s="1" t="s">
        <v>35</v>
      </c>
      <c r="D37" s="1" t="s">
        <v>1320</v>
      </c>
      <c r="E37" s="1">
        <v>45</v>
      </c>
      <c r="F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7" s="1">
        <v>0</v>
      </c>
      <c r="H37" s="1">
        <v>0</v>
      </c>
      <c r="I37" s="1">
        <f>Tabela1[[#This Row],[Siblings and Spouses]]+Tabela1[[#This Row],[Parents and Children]]</f>
        <v>0</v>
      </c>
      <c r="J37" s="3">
        <v>262.375</v>
      </c>
      <c r="K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37" s="2" t="s">
        <v>1318</v>
      </c>
    </row>
    <row r="38" spans="1:12" x14ac:dyDescent="0.25">
      <c r="A38" s="1" t="s">
        <v>1349</v>
      </c>
      <c r="B38" s="1" t="s">
        <v>1337</v>
      </c>
      <c r="C38" s="1" t="s">
        <v>36</v>
      </c>
      <c r="D38" s="1" t="s">
        <v>1320</v>
      </c>
      <c r="E38" s="1">
        <v>22</v>
      </c>
      <c r="F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8" s="1">
        <v>0</v>
      </c>
      <c r="H38" s="1">
        <v>1</v>
      </c>
      <c r="I38" s="1">
        <f>Tabela1[[#This Row],[Siblings and Spouses]]+Tabela1[[#This Row],[Parents and Children]]</f>
        <v>1</v>
      </c>
      <c r="J38" s="3">
        <v>55</v>
      </c>
      <c r="K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8" s="2" t="s">
        <v>396</v>
      </c>
    </row>
    <row r="39" spans="1:12" x14ac:dyDescent="0.25">
      <c r="A39" s="1" t="s">
        <v>1349</v>
      </c>
      <c r="B39" s="1" t="s">
        <v>1337</v>
      </c>
      <c r="C39" s="1" t="s">
        <v>37</v>
      </c>
      <c r="D39" s="1" t="s">
        <v>1321</v>
      </c>
      <c r="E39" s="1" t="s">
        <v>1323</v>
      </c>
      <c r="F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39" s="1">
        <v>0</v>
      </c>
      <c r="H39" s="1">
        <v>0</v>
      </c>
      <c r="I39" s="1">
        <f>Tabela1[[#This Row],[Siblings and Spouses]]+Tabela1[[#This Row],[Parents and Children]]</f>
        <v>0</v>
      </c>
      <c r="J39" s="3">
        <v>26.55</v>
      </c>
      <c r="K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9" s="2" t="s">
        <v>396</v>
      </c>
    </row>
    <row r="40" spans="1:12" x14ac:dyDescent="0.25">
      <c r="A40" s="1" t="s">
        <v>1349</v>
      </c>
      <c r="B40" s="1" t="s">
        <v>1348</v>
      </c>
      <c r="C40" s="1" t="s">
        <v>38</v>
      </c>
      <c r="D40" s="1" t="s">
        <v>1321</v>
      </c>
      <c r="E40" s="1">
        <v>41</v>
      </c>
      <c r="F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0" s="1">
        <v>0</v>
      </c>
      <c r="H40" s="1">
        <v>0</v>
      </c>
      <c r="I40" s="1">
        <f>Tabela1[[#This Row],[Siblings and Spouses]]+Tabela1[[#This Row],[Parents and Children]]</f>
        <v>0</v>
      </c>
      <c r="J40" s="3">
        <v>30.5</v>
      </c>
      <c r="K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0" s="2" t="s">
        <v>396</v>
      </c>
    </row>
    <row r="41" spans="1:12" x14ac:dyDescent="0.25">
      <c r="A41" s="1" t="s">
        <v>1349</v>
      </c>
      <c r="B41" s="1" t="s">
        <v>1348</v>
      </c>
      <c r="C41" s="1" t="s">
        <v>39</v>
      </c>
      <c r="D41" s="1" t="s">
        <v>1321</v>
      </c>
      <c r="E41" s="1">
        <v>48</v>
      </c>
      <c r="F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1" s="1">
        <v>0</v>
      </c>
      <c r="H41" s="1">
        <v>0</v>
      </c>
      <c r="I41" s="1">
        <f>Tabela1[[#This Row],[Siblings and Spouses]]+Tabela1[[#This Row],[Parents and Children]]</f>
        <v>0</v>
      </c>
      <c r="J41" s="3">
        <v>50.495800000000003</v>
      </c>
      <c r="K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1" s="2" t="s">
        <v>1318</v>
      </c>
    </row>
    <row r="42" spans="1:12" x14ac:dyDescent="0.25">
      <c r="A42" s="1" t="s">
        <v>1349</v>
      </c>
      <c r="B42" s="1" t="s">
        <v>1348</v>
      </c>
      <c r="C42" s="1" t="s">
        <v>40</v>
      </c>
      <c r="D42" s="1" t="s">
        <v>1321</v>
      </c>
      <c r="E42" s="1" t="s">
        <v>1323</v>
      </c>
      <c r="F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2" s="1">
        <v>0</v>
      </c>
      <c r="H42" s="1">
        <v>0</v>
      </c>
      <c r="I42" s="1">
        <f>Tabela1[[#This Row],[Siblings and Spouses]]+Tabela1[[#This Row],[Parents and Children]]</f>
        <v>0</v>
      </c>
      <c r="J42" s="3">
        <v>39.6</v>
      </c>
      <c r="K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2" s="2" t="s">
        <v>1318</v>
      </c>
    </row>
    <row r="43" spans="1:12" x14ac:dyDescent="0.25">
      <c r="A43" s="1" t="s">
        <v>1349</v>
      </c>
      <c r="B43" s="1" t="s">
        <v>1337</v>
      </c>
      <c r="C43" s="1" t="s">
        <v>41</v>
      </c>
      <c r="D43" s="1" t="s">
        <v>1320</v>
      </c>
      <c r="E43" s="1">
        <v>44</v>
      </c>
      <c r="F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3" s="1">
        <v>0</v>
      </c>
      <c r="H43" s="1">
        <v>0</v>
      </c>
      <c r="I43" s="1">
        <f>Tabela1[[#This Row],[Siblings and Spouses]]+Tabela1[[#This Row],[Parents and Children]]</f>
        <v>0</v>
      </c>
      <c r="J43" s="3">
        <v>27.720800000000001</v>
      </c>
      <c r="K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3" s="2" t="s">
        <v>1318</v>
      </c>
    </row>
    <row r="44" spans="1:12" x14ac:dyDescent="0.25">
      <c r="A44" s="1" t="s">
        <v>1349</v>
      </c>
      <c r="B44" s="1" t="s">
        <v>1337</v>
      </c>
      <c r="C44" s="1" t="s">
        <v>42</v>
      </c>
      <c r="D44" s="1" t="s">
        <v>1320</v>
      </c>
      <c r="E44" s="1">
        <v>59</v>
      </c>
      <c r="F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4" s="1">
        <v>2</v>
      </c>
      <c r="H44" s="1">
        <v>0</v>
      </c>
      <c r="I44" s="1">
        <f>Tabela1[[#This Row],[Siblings and Spouses]]+Tabela1[[#This Row],[Parents and Children]]</f>
        <v>2</v>
      </c>
      <c r="J44" s="3">
        <v>51.479199999999999</v>
      </c>
      <c r="K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" s="2" t="s">
        <v>396</v>
      </c>
    </row>
    <row r="45" spans="1:12" x14ac:dyDescent="0.25">
      <c r="A45" s="1" t="s">
        <v>1349</v>
      </c>
      <c r="B45" s="1" t="s">
        <v>1337</v>
      </c>
      <c r="C45" s="1" t="s">
        <v>43</v>
      </c>
      <c r="D45" s="1" t="s">
        <v>1320</v>
      </c>
      <c r="E45" s="1">
        <v>60</v>
      </c>
      <c r="F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5" s="1">
        <v>0</v>
      </c>
      <c r="H45" s="1">
        <v>0</v>
      </c>
      <c r="I45" s="1">
        <f>Tabela1[[#This Row],[Siblings and Spouses]]+Tabela1[[#This Row],[Parents and Children]]</f>
        <v>0</v>
      </c>
      <c r="J45" s="3">
        <v>76.291700000000006</v>
      </c>
      <c r="K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5" s="2" t="s">
        <v>1318</v>
      </c>
    </row>
    <row r="46" spans="1:12" x14ac:dyDescent="0.25">
      <c r="A46" s="1" t="s">
        <v>1349</v>
      </c>
      <c r="B46" s="1" t="s">
        <v>1337</v>
      </c>
      <c r="C46" s="1" t="s">
        <v>44</v>
      </c>
      <c r="D46" s="1" t="s">
        <v>1320</v>
      </c>
      <c r="E46" s="1">
        <v>41</v>
      </c>
      <c r="F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6" s="1">
        <v>0</v>
      </c>
      <c r="H46" s="1">
        <v>0</v>
      </c>
      <c r="I46" s="1">
        <f>Tabela1[[#This Row],[Siblings and Spouses]]+Tabela1[[#This Row],[Parents and Children]]</f>
        <v>0</v>
      </c>
      <c r="J46" s="3">
        <v>134.5</v>
      </c>
      <c r="K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46" s="2" t="s">
        <v>1318</v>
      </c>
    </row>
    <row r="47" spans="1:12" x14ac:dyDescent="0.25">
      <c r="A47" s="1" t="s">
        <v>1349</v>
      </c>
      <c r="B47" s="1" t="s">
        <v>1348</v>
      </c>
      <c r="C47" s="1" t="s">
        <v>45</v>
      </c>
      <c r="D47" s="1" t="s">
        <v>1321</v>
      </c>
      <c r="E47" s="1">
        <v>45</v>
      </c>
      <c r="F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7" s="1">
        <v>0</v>
      </c>
      <c r="H47" s="1">
        <v>0</v>
      </c>
      <c r="I47" s="1">
        <f>Tabela1[[#This Row],[Siblings and Spouses]]+Tabela1[[#This Row],[Parents and Children]]</f>
        <v>0</v>
      </c>
      <c r="J47" s="3">
        <v>26.55</v>
      </c>
      <c r="K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7" s="2" t="s">
        <v>396</v>
      </c>
    </row>
    <row r="48" spans="1:12" x14ac:dyDescent="0.25">
      <c r="A48" s="1" t="s">
        <v>1349</v>
      </c>
      <c r="B48" s="1" t="s">
        <v>1348</v>
      </c>
      <c r="C48" s="1" t="s">
        <v>46</v>
      </c>
      <c r="D48" s="1" t="s">
        <v>1321</v>
      </c>
      <c r="E48" s="1" t="s">
        <v>1323</v>
      </c>
      <c r="F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8" s="1">
        <v>0</v>
      </c>
      <c r="H48" s="1">
        <v>0</v>
      </c>
      <c r="I48" s="1">
        <f>Tabela1[[#This Row],[Siblings and Spouses]]+Tabela1[[#This Row],[Parents and Children]]</f>
        <v>0</v>
      </c>
      <c r="J48" s="3">
        <v>31</v>
      </c>
      <c r="K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8" s="2" t="s">
        <v>396</v>
      </c>
    </row>
    <row r="49" spans="1:12" x14ac:dyDescent="0.25">
      <c r="A49" s="1" t="s">
        <v>1349</v>
      </c>
      <c r="B49" s="1" t="s">
        <v>1337</v>
      </c>
      <c r="C49" s="1" t="s">
        <v>47</v>
      </c>
      <c r="D49" s="1" t="s">
        <v>1321</v>
      </c>
      <c r="E49" s="1">
        <v>42</v>
      </c>
      <c r="F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9" s="1">
        <v>0</v>
      </c>
      <c r="H49" s="1">
        <v>0</v>
      </c>
      <c r="I49" s="1">
        <f>Tabela1[[#This Row],[Siblings and Spouses]]+Tabela1[[#This Row],[Parents and Children]]</f>
        <v>0</v>
      </c>
      <c r="J49" s="3">
        <v>26.287500000000001</v>
      </c>
      <c r="K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9" s="2" t="s">
        <v>396</v>
      </c>
    </row>
    <row r="50" spans="1:12" x14ac:dyDescent="0.25">
      <c r="A50" s="1" t="s">
        <v>1349</v>
      </c>
      <c r="B50" s="1" t="s">
        <v>1337</v>
      </c>
      <c r="C50" s="1" t="s">
        <v>48</v>
      </c>
      <c r="D50" s="1" t="s">
        <v>1320</v>
      </c>
      <c r="E50" s="1">
        <v>53</v>
      </c>
      <c r="F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50" s="1">
        <v>0</v>
      </c>
      <c r="H50" s="1">
        <v>0</v>
      </c>
      <c r="I50" s="1">
        <f>Tabela1[[#This Row],[Siblings and Spouses]]+Tabela1[[#This Row],[Parents and Children]]</f>
        <v>0</v>
      </c>
      <c r="J50" s="3">
        <v>27.445799999999998</v>
      </c>
      <c r="K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0" s="2" t="s">
        <v>1318</v>
      </c>
    </row>
    <row r="51" spans="1:12" x14ac:dyDescent="0.25">
      <c r="A51" s="1" t="s">
        <v>1349</v>
      </c>
      <c r="B51" s="1" t="s">
        <v>1337</v>
      </c>
      <c r="C51" s="1" t="s">
        <v>49</v>
      </c>
      <c r="D51" s="1" t="s">
        <v>1321</v>
      </c>
      <c r="E51" s="1">
        <v>36</v>
      </c>
      <c r="F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1" s="1">
        <v>0</v>
      </c>
      <c r="H51" s="1">
        <v>1</v>
      </c>
      <c r="I51" s="1">
        <f>Tabela1[[#This Row],[Siblings and Spouses]]+Tabela1[[#This Row],[Parents and Children]]</f>
        <v>1</v>
      </c>
      <c r="J51" s="3">
        <v>512.32920000000001</v>
      </c>
      <c r="K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51" s="2" t="s">
        <v>1318</v>
      </c>
    </row>
    <row r="52" spans="1:12" x14ac:dyDescent="0.25">
      <c r="A52" s="1" t="s">
        <v>1349</v>
      </c>
      <c r="B52" s="1" t="s">
        <v>1337</v>
      </c>
      <c r="C52" s="1" t="s">
        <v>50</v>
      </c>
      <c r="D52" s="1" t="s">
        <v>1320</v>
      </c>
      <c r="E52" s="1">
        <v>58</v>
      </c>
      <c r="F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52" s="1">
        <v>0</v>
      </c>
      <c r="H52" s="1">
        <v>1</v>
      </c>
      <c r="I52" s="1">
        <f>Tabela1[[#This Row],[Siblings and Spouses]]+Tabela1[[#This Row],[Parents and Children]]</f>
        <v>1</v>
      </c>
      <c r="J52" s="3">
        <v>512.32920000000001</v>
      </c>
      <c r="K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52" s="2" t="s">
        <v>1318</v>
      </c>
    </row>
    <row r="53" spans="1:12" x14ac:dyDescent="0.25">
      <c r="A53" s="1" t="s">
        <v>1349</v>
      </c>
      <c r="B53" s="1" t="s">
        <v>1348</v>
      </c>
      <c r="C53" s="1" t="s">
        <v>51</v>
      </c>
      <c r="D53" s="1" t="s">
        <v>1321</v>
      </c>
      <c r="E53" s="1">
        <v>33</v>
      </c>
      <c r="F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3" s="1">
        <v>0</v>
      </c>
      <c r="H53" s="1">
        <v>0</v>
      </c>
      <c r="I53" s="1">
        <f>Tabela1[[#This Row],[Siblings and Spouses]]+Tabela1[[#This Row],[Parents and Children]]</f>
        <v>0</v>
      </c>
      <c r="J53" s="3">
        <v>5</v>
      </c>
      <c r="K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53" s="2" t="s">
        <v>396</v>
      </c>
    </row>
    <row r="54" spans="1:12" x14ac:dyDescent="0.25">
      <c r="A54" s="1" t="s">
        <v>1349</v>
      </c>
      <c r="B54" s="1" t="s">
        <v>1348</v>
      </c>
      <c r="C54" s="1" t="s">
        <v>52</v>
      </c>
      <c r="D54" s="1" t="s">
        <v>1321</v>
      </c>
      <c r="E54" s="1">
        <v>28</v>
      </c>
      <c r="F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4" s="1">
        <v>0</v>
      </c>
      <c r="H54" s="1">
        <v>0</v>
      </c>
      <c r="I54" s="1">
        <f>Tabela1[[#This Row],[Siblings and Spouses]]+Tabela1[[#This Row],[Parents and Children]]</f>
        <v>0</v>
      </c>
      <c r="J54" s="3">
        <v>47.1</v>
      </c>
      <c r="K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4" s="2" t="s">
        <v>396</v>
      </c>
    </row>
    <row r="55" spans="1:12" x14ac:dyDescent="0.25">
      <c r="A55" s="1" t="s">
        <v>1349</v>
      </c>
      <c r="B55" s="1" t="s">
        <v>1348</v>
      </c>
      <c r="C55" s="1" t="s">
        <v>53</v>
      </c>
      <c r="D55" s="1" t="s">
        <v>1321</v>
      </c>
      <c r="E55" s="1">
        <v>17</v>
      </c>
      <c r="F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5" s="1">
        <v>0</v>
      </c>
      <c r="H55" s="1">
        <v>0</v>
      </c>
      <c r="I55" s="1">
        <f>Tabela1[[#This Row],[Siblings and Spouses]]+Tabela1[[#This Row],[Parents and Children]]</f>
        <v>0</v>
      </c>
      <c r="J55" s="3">
        <v>47.1</v>
      </c>
      <c r="K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5" s="2" t="s">
        <v>396</v>
      </c>
    </row>
    <row r="56" spans="1:12" x14ac:dyDescent="0.25">
      <c r="A56" s="1" t="s">
        <v>1349</v>
      </c>
      <c r="B56" s="1" t="s">
        <v>1337</v>
      </c>
      <c r="C56" s="1" t="s">
        <v>54</v>
      </c>
      <c r="D56" s="1" t="s">
        <v>1321</v>
      </c>
      <c r="E56" s="1">
        <v>11</v>
      </c>
      <c r="F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6" s="1">
        <v>1</v>
      </c>
      <c r="H56" s="1">
        <v>2</v>
      </c>
      <c r="I56" s="1">
        <f>Tabela1[[#This Row],[Siblings and Spouses]]+Tabela1[[#This Row],[Parents and Children]]</f>
        <v>3</v>
      </c>
      <c r="J56" s="3">
        <v>120</v>
      </c>
      <c r="K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56" s="2" t="s">
        <v>396</v>
      </c>
    </row>
    <row r="57" spans="1:12" x14ac:dyDescent="0.25">
      <c r="A57" s="1" t="s">
        <v>1349</v>
      </c>
      <c r="B57" s="1" t="s">
        <v>1337</v>
      </c>
      <c r="C57" s="1" t="s">
        <v>55</v>
      </c>
      <c r="D57" s="1" t="s">
        <v>1320</v>
      </c>
      <c r="E57" s="1">
        <v>14</v>
      </c>
      <c r="F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7" s="1">
        <v>1</v>
      </c>
      <c r="H57" s="1">
        <v>2</v>
      </c>
      <c r="I57" s="1">
        <f>Tabela1[[#This Row],[Siblings and Spouses]]+Tabela1[[#This Row],[Parents and Children]]</f>
        <v>3</v>
      </c>
      <c r="J57" s="3">
        <v>120</v>
      </c>
      <c r="K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57" s="2" t="s">
        <v>396</v>
      </c>
    </row>
    <row r="58" spans="1:12" x14ac:dyDescent="0.25">
      <c r="A58" s="1" t="s">
        <v>1349</v>
      </c>
      <c r="B58" s="1" t="s">
        <v>1337</v>
      </c>
      <c r="C58" s="1" t="s">
        <v>56</v>
      </c>
      <c r="D58" s="1" t="s">
        <v>1321</v>
      </c>
      <c r="E58" s="1">
        <v>36</v>
      </c>
      <c r="F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8" s="1">
        <v>1</v>
      </c>
      <c r="H58" s="1">
        <v>2</v>
      </c>
      <c r="I58" s="1">
        <f>Tabela1[[#This Row],[Siblings and Spouses]]+Tabela1[[#This Row],[Parents and Children]]</f>
        <v>3</v>
      </c>
      <c r="J58" s="3">
        <v>120</v>
      </c>
      <c r="K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58" s="2" t="s">
        <v>396</v>
      </c>
    </row>
    <row r="59" spans="1:12" x14ac:dyDescent="0.25">
      <c r="A59" s="1" t="s">
        <v>1349</v>
      </c>
      <c r="B59" s="1" t="s">
        <v>1337</v>
      </c>
      <c r="C59" s="1" t="s">
        <v>57</v>
      </c>
      <c r="D59" s="1" t="s">
        <v>1320</v>
      </c>
      <c r="E59" s="1">
        <v>36</v>
      </c>
      <c r="F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9" s="1">
        <v>1</v>
      </c>
      <c r="H59" s="1">
        <v>2</v>
      </c>
      <c r="I59" s="1">
        <f>Tabela1[[#This Row],[Siblings and Spouses]]+Tabela1[[#This Row],[Parents and Children]]</f>
        <v>3</v>
      </c>
      <c r="J59" s="3">
        <v>120</v>
      </c>
      <c r="K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59" s="2" t="s">
        <v>396</v>
      </c>
    </row>
    <row r="60" spans="1:12" x14ac:dyDescent="0.25">
      <c r="A60" s="1" t="s">
        <v>1349</v>
      </c>
      <c r="B60" s="1" t="s">
        <v>1348</v>
      </c>
      <c r="C60" s="1" t="s">
        <v>58</v>
      </c>
      <c r="D60" s="1" t="s">
        <v>1321</v>
      </c>
      <c r="E60" s="1">
        <v>49</v>
      </c>
      <c r="F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60" s="1">
        <v>0</v>
      </c>
      <c r="H60" s="1">
        <v>0</v>
      </c>
      <c r="I60" s="1">
        <f>Tabela1[[#This Row],[Siblings and Spouses]]+Tabela1[[#This Row],[Parents and Children]]</f>
        <v>0</v>
      </c>
      <c r="J60" s="3">
        <v>26</v>
      </c>
      <c r="K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0" s="2" t="s">
        <v>396</v>
      </c>
    </row>
    <row r="61" spans="1:12" x14ac:dyDescent="0.25">
      <c r="A61" s="1" t="s">
        <v>1349</v>
      </c>
      <c r="B61" s="1" t="s">
        <v>1337</v>
      </c>
      <c r="C61" s="1" t="s">
        <v>59</v>
      </c>
      <c r="D61" s="1" t="s">
        <v>1320</v>
      </c>
      <c r="E61" s="1" t="s">
        <v>1323</v>
      </c>
      <c r="F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61" s="1">
        <v>0</v>
      </c>
      <c r="H61" s="1">
        <v>0</v>
      </c>
      <c r="I61" s="1">
        <f>Tabela1[[#This Row],[Siblings and Spouses]]+Tabela1[[#This Row],[Parents and Children]]</f>
        <v>0</v>
      </c>
      <c r="J61" s="3">
        <v>27.720800000000001</v>
      </c>
      <c r="K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1" s="2" t="s">
        <v>1318</v>
      </c>
    </row>
    <row r="62" spans="1:12" x14ac:dyDescent="0.25">
      <c r="A62" s="1" t="s">
        <v>1349</v>
      </c>
      <c r="B62" s="1" t="s">
        <v>1348</v>
      </c>
      <c r="C62" s="1" t="s">
        <v>60</v>
      </c>
      <c r="D62" s="1" t="s">
        <v>1321</v>
      </c>
      <c r="E62" s="1">
        <v>36</v>
      </c>
      <c r="F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2" s="1">
        <v>1</v>
      </c>
      <c r="H62" s="1">
        <v>0</v>
      </c>
      <c r="I62" s="1">
        <f>Tabela1[[#This Row],[Siblings and Spouses]]+Tabela1[[#This Row],[Parents and Children]]</f>
        <v>1</v>
      </c>
      <c r="J62" s="3">
        <v>78.849999999999994</v>
      </c>
      <c r="K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2" s="2" t="s">
        <v>396</v>
      </c>
    </row>
    <row r="63" spans="1:12" x14ac:dyDescent="0.25">
      <c r="A63" s="1" t="s">
        <v>1349</v>
      </c>
      <c r="B63" s="1" t="s">
        <v>1337</v>
      </c>
      <c r="C63" s="1" t="s">
        <v>61</v>
      </c>
      <c r="D63" s="1" t="s">
        <v>1320</v>
      </c>
      <c r="E63" s="1">
        <v>76</v>
      </c>
      <c r="F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63" s="1">
        <v>1</v>
      </c>
      <c r="H63" s="1">
        <v>0</v>
      </c>
      <c r="I63" s="1">
        <f>Tabela1[[#This Row],[Siblings and Spouses]]+Tabela1[[#This Row],[Parents and Children]]</f>
        <v>1</v>
      </c>
      <c r="J63" s="3">
        <v>78.849999999999994</v>
      </c>
      <c r="K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3" s="2" t="s">
        <v>396</v>
      </c>
    </row>
    <row r="64" spans="1:12" x14ac:dyDescent="0.25">
      <c r="A64" s="1" t="s">
        <v>1349</v>
      </c>
      <c r="B64" s="1" t="s">
        <v>1348</v>
      </c>
      <c r="C64" s="1" t="s">
        <v>62</v>
      </c>
      <c r="D64" s="1" t="s">
        <v>1321</v>
      </c>
      <c r="E64" s="1">
        <v>46</v>
      </c>
      <c r="F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64" s="1">
        <v>1</v>
      </c>
      <c r="H64" s="1">
        <v>0</v>
      </c>
      <c r="I64" s="1">
        <f>Tabela1[[#This Row],[Siblings and Spouses]]+Tabela1[[#This Row],[Parents and Children]]</f>
        <v>1</v>
      </c>
      <c r="J64" s="3">
        <v>61.174999999999997</v>
      </c>
      <c r="K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4" s="2" t="s">
        <v>396</v>
      </c>
    </row>
    <row r="65" spans="1:12" x14ac:dyDescent="0.25">
      <c r="A65" s="1" t="s">
        <v>1349</v>
      </c>
      <c r="B65" s="1" t="s">
        <v>1337</v>
      </c>
      <c r="C65" s="1" t="s">
        <v>63</v>
      </c>
      <c r="D65" s="1" t="s">
        <v>1320</v>
      </c>
      <c r="E65" s="1">
        <v>47</v>
      </c>
      <c r="F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65" s="1">
        <v>1</v>
      </c>
      <c r="H65" s="1">
        <v>0</v>
      </c>
      <c r="I65" s="1">
        <f>Tabela1[[#This Row],[Siblings and Spouses]]+Tabela1[[#This Row],[Parents and Children]]</f>
        <v>1</v>
      </c>
      <c r="J65" s="3">
        <v>61.174999999999997</v>
      </c>
      <c r="K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5" s="2" t="s">
        <v>396</v>
      </c>
    </row>
    <row r="66" spans="1:12" x14ac:dyDescent="0.25">
      <c r="A66" s="1" t="s">
        <v>1349</v>
      </c>
      <c r="B66" s="1" t="s">
        <v>1337</v>
      </c>
      <c r="C66" s="1" t="s">
        <v>64</v>
      </c>
      <c r="D66" s="1" t="s">
        <v>1321</v>
      </c>
      <c r="E66" s="1">
        <v>27</v>
      </c>
      <c r="F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6" s="1">
        <v>1</v>
      </c>
      <c r="H66" s="1">
        <v>0</v>
      </c>
      <c r="I66" s="1">
        <f>Tabela1[[#This Row],[Siblings and Spouses]]+Tabela1[[#This Row],[Parents and Children]]</f>
        <v>1</v>
      </c>
      <c r="J66" s="3">
        <v>53.1</v>
      </c>
      <c r="K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6" s="2" t="s">
        <v>396</v>
      </c>
    </row>
    <row r="67" spans="1:12" x14ac:dyDescent="0.25">
      <c r="A67" s="1" t="s">
        <v>1349</v>
      </c>
      <c r="B67" s="1" t="s">
        <v>1337</v>
      </c>
      <c r="C67" s="1" t="s">
        <v>65</v>
      </c>
      <c r="D67" s="1" t="s">
        <v>1320</v>
      </c>
      <c r="E67" s="1">
        <v>33</v>
      </c>
      <c r="F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7" s="1">
        <v>1</v>
      </c>
      <c r="H67" s="1">
        <v>0</v>
      </c>
      <c r="I67" s="1">
        <f>Tabela1[[#This Row],[Siblings and Spouses]]+Tabela1[[#This Row],[Parents and Children]]</f>
        <v>1</v>
      </c>
      <c r="J67" s="3">
        <v>53.1</v>
      </c>
      <c r="K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7" s="2" t="s">
        <v>396</v>
      </c>
    </row>
    <row r="68" spans="1:12" x14ac:dyDescent="0.25">
      <c r="A68" s="1" t="s">
        <v>1349</v>
      </c>
      <c r="B68" s="1" t="s">
        <v>1337</v>
      </c>
      <c r="C68" s="1" t="s">
        <v>66</v>
      </c>
      <c r="D68" s="1" t="s">
        <v>1320</v>
      </c>
      <c r="E68" s="1">
        <v>36</v>
      </c>
      <c r="F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8" s="1">
        <v>0</v>
      </c>
      <c r="H68" s="1">
        <v>0</v>
      </c>
      <c r="I68" s="1">
        <f>Tabela1[[#This Row],[Siblings and Spouses]]+Tabela1[[#This Row],[Parents and Children]]</f>
        <v>0</v>
      </c>
      <c r="J68" s="3">
        <v>262.375</v>
      </c>
      <c r="K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68" s="2" t="s">
        <v>1318</v>
      </c>
    </row>
    <row r="69" spans="1:12" x14ac:dyDescent="0.25">
      <c r="A69" s="1" t="s">
        <v>1349</v>
      </c>
      <c r="B69" s="1" t="s">
        <v>1337</v>
      </c>
      <c r="C69" s="1" t="s">
        <v>67</v>
      </c>
      <c r="D69" s="1" t="s">
        <v>1320</v>
      </c>
      <c r="E69" s="1">
        <v>30</v>
      </c>
      <c r="F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" s="1">
        <v>0</v>
      </c>
      <c r="H69" s="1">
        <v>0</v>
      </c>
      <c r="I69" s="1">
        <f>Tabela1[[#This Row],[Siblings and Spouses]]+Tabela1[[#This Row],[Parents and Children]]</f>
        <v>0</v>
      </c>
      <c r="J69" s="3">
        <v>86.5</v>
      </c>
      <c r="K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9" s="2" t="s">
        <v>396</v>
      </c>
    </row>
    <row r="70" spans="1:12" x14ac:dyDescent="0.25">
      <c r="A70" s="1" t="s">
        <v>1349</v>
      </c>
      <c r="B70" s="1" t="s">
        <v>1337</v>
      </c>
      <c r="C70" s="1" t="s">
        <v>68</v>
      </c>
      <c r="D70" s="1" t="s">
        <v>1321</v>
      </c>
      <c r="E70" s="1">
        <v>45</v>
      </c>
      <c r="F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0" s="1">
        <v>0</v>
      </c>
      <c r="H70" s="1">
        <v>0</v>
      </c>
      <c r="I70" s="1">
        <f>Tabela1[[#This Row],[Siblings and Spouses]]+Tabela1[[#This Row],[Parents and Children]]</f>
        <v>0</v>
      </c>
      <c r="J70" s="3">
        <v>29.7</v>
      </c>
      <c r="K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70" s="2" t="s">
        <v>1318</v>
      </c>
    </row>
    <row r="71" spans="1:12" x14ac:dyDescent="0.25">
      <c r="A71" s="1" t="s">
        <v>1349</v>
      </c>
      <c r="B71" s="1" t="s">
        <v>1337</v>
      </c>
      <c r="C71" s="1" t="s">
        <v>69</v>
      </c>
      <c r="D71" s="1" t="s">
        <v>1320</v>
      </c>
      <c r="E71" s="1" t="s">
        <v>1323</v>
      </c>
      <c r="F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1" s="1">
        <v>0</v>
      </c>
      <c r="H71" s="1">
        <v>1</v>
      </c>
      <c r="I71" s="1">
        <f>Tabela1[[#This Row],[Siblings and Spouses]]+Tabela1[[#This Row],[Parents and Children]]</f>
        <v>1</v>
      </c>
      <c r="J71" s="3">
        <v>55</v>
      </c>
      <c r="K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71" s="2" t="s">
        <v>396</v>
      </c>
    </row>
    <row r="72" spans="1:12" x14ac:dyDescent="0.25">
      <c r="A72" s="1" t="s">
        <v>1349</v>
      </c>
      <c r="B72" s="1" t="s">
        <v>1348</v>
      </c>
      <c r="C72" s="1" t="s">
        <v>70</v>
      </c>
      <c r="D72" s="1" t="s">
        <v>1321</v>
      </c>
      <c r="E72" s="1" t="s">
        <v>1323</v>
      </c>
      <c r="F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2" s="1">
        <v>0</v>
      </c>
      <c r="H72" s="1">
        <v>0</v>
      </c>
      <c r="I72" s="1">
        <f>Tabela1[[#This Row],[Siblings and Spouses]]+Tabela1[[#This Row],[Parents and Children]]</f>
        <v>0</v>
      </c>
      <c r="J72" s="3">
        <v>0</v>
      </c>
      <c r="K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" s="2" t="s">
        <v>396</v>
      </c>
    </row>
    <row r="73" spans="1:12" x14ac:dyDescent="0.25">
      <c r="A73" s="1" t="s">
        <v>1349</v>
      </c>
      <c r="B73" s="1" t="s">
        <v>1348</v>
      </c>
      <c r="C73" s="1" t="s">
        <v>71</v>
      </c>
      <c r="D73" s="1" t="s">
        <v>1321</v>
      </c>
      <c r="E73" s="1">
        <v>27</v>
      </c>
      <c r="F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3" s="1">
        <v>1</v>
      </c>
      <c r="H73" s="1">
        <v>0</v>
      </c>
      <c r="I73" s="1">
        <f>Tabela1[[#This Row],[Siblings and Spouses]]+Tabela1[[#This Row],[Parents and Children]]</f>
        <v>1</v>
      </c>
      <c r="J73" s="3">
        <v>136.7792</v>
      </c>
      <c r="K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73" s="2" t="s">
        <v>1318</v>
      </c>
    </row>
    <row r="74" spans="1:12" x14ac:dyDescent="0.25">
      <c r="A74" s="1" t="s">
        <v>1349</v>
      </c>
      <c r="B74" s="1" t="s">
        <v>1337</v>
      </c>
      <c r="C74" s="1" t="s">
        <v>72</v>
      </c>
      <c r="D74" s="1" t="s">
        <v>1320</v>
      </c>
      <c r="E74" s="1">
        <v>26</v>
      </c>
      <c r="F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4" s="1">
        <v>1</v>
      </c>
      <c r="H74" s="1">
        <v>0</v>
      </c>
      <c r="I74" s="1">
        <f>Tabela1[[#This Row],[Siblings and Spouses]]+Tabela1[[#This Row],[Parents and Children]]</f>
        <v>1</v>
      </c>
      <c r="J74" s="3">
        <v>136.7792</v>
      </c>
      <c r="K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74" s="2" t="s">
        <v>1318</v>
      </c>
    </row>
    <row r="75" spans="1:12" x14ac:dyDescent="0.25">
      <c r="A75" s="1" t="s">
        <v>1349</v>
      </c>
      <c r="B75" s="1" t="s">
        <v>1337</v>
      </c>
      <c r="C75" s="1" t="s">
        <v>73</v>
      </c>
      <c r="D75" s="1" t="s">
        <v>1320</v>
      </c>
      <c r="E75" s="1">
        <v>22</v>
      </c>
      <c r="F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" s="1">
        <v>0</v>
      </c>
      <c r="H75" s="1">
        <v>0</v>
      </c>
      <c r="I75" s="1">
        <f>Tabela1[[#This Row],[Siblings and Spouses]]+Tabela1[[#This Row],[Parents and Children]]</f>
        <v>0</v>
      </c>
      <c r="J75" s="3">
        <v>151.55000000000001</v>
      </c>
      <c r="K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75" s="2" t="s">
        <v>396</v>
      </c>
    </row>
    <row r="76" spans="1:12" x14ac:dyDescent="0.25">
      <c r="A76" s="1" t="s">
        <v>1349</v>
      </c>
      <c r="B76" s="1" t="s">
        <v>1348</v>
      </c>
      <c r="C76" s="1" t="s">
        <v>74</v>
      </c>
      <c r="D76" s="1" t="s">
        <v>1321</v>
      </c>
      <c r="E76" s="1" t="s">
        <v>1323</v>
      </c>
      <c r="F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6" s="1">
        <v>0</v>
      </c>
      <c r="H76" s="1">
        <v>0</v>
      </c>
      <c r="I76" s="1">
        <f>Tabela1[[#This Row],[Siblings and Spouses]]+Tabela1[[#This Row],[Parents and Children]]</f>
        <v>0</v>
      </c>
      <c r="J76" s="3">
        <v>52</v>
      </c>
      <c r="K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76" s="2" t="s">
        <v>396</v>
      </c>
    </row>
    <row r="77" spans="1:12" x14ac:dyDescent="0.25">
      <c r="A77" s="1" t="s">
        <v>1349</v>
      </c>
      <c r="B77" s="1" t="s">
        <v>1348</v>
      </c>
      <c r="C77" s="1" t="s">
        <v>75</v>
      </c>
      <c r="D77" s="1" t="s">
        <v>1321</v>
      </c>
      <c r="E77" s="1">
        <v>47</v>
      </c>
      <c r="F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7" s="1">
        <v>0</v>
      </c>
      <c r="H77" s="1">
        <v>0</v>
      </c>
      <c r="I77" s="1">
        <f>Tabela1[[#This Row],[Siblings and Spouses]]+Tabela1[[#This Row],[Parents and Children]]</f>
        <v>0</v>
      </c>
      <c r="J77" s="3">
        <v>25.587499999999999</v>
      </c>
      <c r="K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7" s="2" t="s">
        <v>396</v>
      </c>
    </row>
    <row r="78" spans="1:12" x14ac:dyDescent="0.25">
      <c r="A78" s="1" t="s">
        <v>1349</v>
      </c>
      <c r="B78" s="1" t="s">
        <v>1337</v>
      </c>
      <c r="C78" s="1" t="s">
        <v>76</v>
      </c>
      <c r="D78" s="1" t="s">
        <v>1320</v>
      </c>
      <c r="E78" s="1">
        <v>39</v>
      </c>
      <c r="F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8" s="1">
        <v>1</v>
      </c>
      <c r="H78" s="1">
        <v>1</v>
      </c>
      <c r="I78" s="1">
        <f>Tabela1[[#This Row],[Siblings and Spouses]]+Tabela1[[#This Row],[Parents and Children]]</f>
        <v>2</v>
      </c>
      <c r="J78" s="3">
        <v>83.158299999999997</v>
      </c>
      <c r="K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78" s="2" t="s">
        <v>1318</v>
      </c>
    </row>
    <row r="79" spans="1:12" x14ac:dyDescent="0.25">
      <c r="A79" s="1" t="s">
        <v>1349</v>
      </c>
      <c r="B79" s="1" t="s">
        <v>1348</v>
      </c>
      <c r="C79" s="1" t="s">
        <v>77</v>
      </c>
      <c r="D79" s="1" t="s">
        <v>1321</v>
      </c>
      <c r="E79" s="1">
        <v>37</v>
      </c>
      <c r="F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9" s="1">
        <v>1</v>
      </c>
      <c r="H79" s="1">
        <v>1</v>
      </c>
      <c r="I79" s="1">
        <f>Tabela1[[#This Row],[Siblings and Spouses]]+Tabela1[[#This Row],[Parents and Children]]</f>
        <v>2</v>
      </c>
      <c r="J79" s="3">
        <v>83.158299999999997</v>
      </c>
      <c r="K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79" s="2" t="s">
        <v>1318</v>
      </c>
    </row>
    <row r="80" spans="1:12" x14ac:dyDescent="0.25">
      <c r="A80" s="1" t="s">
        <v>1349</v>
      </c>
      <c r="B80" s="1" t="s">
        <v>1337</v>
      </c>
      <c r="C80" s="1" t="s">
        <v>78</v>
      </c>
      <c r="D80" s="1" t="s">
        <v>1320</v>
      </c>
      <c r="E80" s="1">
        <v>64</v>
      </c>
      <c r="F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80" s="1">
        <v>0</v>
      </c>
      <c r="H80" s="1">
        <v>2</v>
      </c>
      <c r="I80" s="1">
        <f>Tabela1[[#This Row],[Siblings and Spouses]]+Tabela1[[#This Row],[Parents and Children]]</f>
        <v>2</v>
      </c>
      <c r="J80" s="3">
        <v>83.158299999999997</v>
      </c>
      <c r="K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0" s="2" t="s">
        <v>1318</v>
      </c>
    </row>
    <row r="81" spans="1:12" x14ac:dyDescent="0.25">
      <c r="A81" s="1" t="s">
        <v>1349</v>
      </c>
      <c r="B81" s="1" t="s">
        <v>1337</v>
      </c>
      <c r="C81" s="1" t="s">
        <v>79</v>
      </c>
      <c r="D81" s="1" t="s">
        <v>1320</v>
      </c>
      <c r="E81" s="1">
        <v>55</v>
      </c>
      <c r="F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81" s="1">
        <v>2</v>
      </c>
      <c r="H81" s="1">
        <v>0</v>
      </c>
      <c r="I81" s="1">
        <f>Tabela1[[#This Row],[Siblings and Spouses]]+Tabela1[[#This Row],[Parents and Children]]</f>
        <v>2</v>
      </c>
      <c r="J81" s="3">
        <v>25.7</v>
      </c>
      <c r="K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1" s="2" t="s">
        <v>396</v>
      </c>
    </row>
    <row r="82" spans="1:12" x14ac:dyDescent="0.25">
      <c r="A82" s="1" t="s">
        <v>1349</v>
      </c>
      <c r="B82" s="1" t="s">
        <v>1348</v>
      </c>
      <c r="C82" s="1" t="s">
        <v>80</v>
      </c>
      <c r="D82" s="1" t="s">
        <v>1321</v>
      </c>
      <c r="E82" s="1" t="s">
        <v>1323</v>
      </c>
      <c r="F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2" s="1">
        <v>0</v>
      </c>
      <c r="H82" s="1">
        <v>0</v>
      </c>
      <c r="I82" s="1">
        <f>Tabela1[[#This Row],[Siblings and Spouses]]+Tabela1[[#This Row],[Parents and Children]]</f>
        <v>0</v>
      </c>
      <c r="J82" s="3">
        <v>26.55</v>
      </c>
      <c r="K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2" s="2" t="s">
        <v>396</v>
      </c>
    </row>
    <row r="83" spans="1:12" x14ac:dyDescent="0.25">
      <c r="A83" s="1" t="s">
        <v>1349</v>
      </c>
      <c r="B83" s="1" t="s">
        <v>1348</v>
      </c>
      <c r="C83" s="1" t="s">
        <v>81</v>
      </c>
      <c r="D83" s="1" t="s">
        <v>1321</v>
      </c>
      <c r="E83" s="1">
        <v>70</v>
      </c>
      <c r="F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83" s="1">
        <v>1</v>
      </c>
      <c r="H83" s="1">
        <v>1</v>
      </c>
      <c r="I83" s="1">
        <f>Tabela1[[#This Row],[Siblings and Spouses]]+Tabela1[[#This Row],[Parents and Children]]</f>
        <v>2</v>
      </c>
      <c r="J83" s="3">
        <v>71</v>
      </c>
      <c r="K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3" s="2" t="s">
        <v>396</v>
      </c>
    </row>
    <row r="84" spans="1:12" x14ac:dyDescent="0.25">
      <c r="A84" s="1" t="s">
        <v>1349</v>
      </c>
      <c r="B84" s="1" t="s">
        <v>1337</v>
      </c>
      <c r="C84" s="1" t="s">
        <v>82</v>
      </c>
      <c r="D84" s="1" t="s">
        <v>1320</v>
      </c>
      <c r="E84" s="1">
        <v>36</v>
      </c>
      <c r="F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4" s="1">
        <v>0</v>
      </c>
      <c r="H84" s="1">
        <v>2</v>
      </c>
      <c r="I84" s="1">
        <f>Tabela1[[#This Row],[Siblings and Spouses]]+Tabela1[[#This Row],[Parents and Children]]</f>
        <v>2</v>
      </c>
      <c r="J84" s="3">
        <v>71</v>
      </c>
      <c r="K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4" s="2" t="s">
        <v>396</v>
      </c>
    </row>
    <row r="85" spans="1:12" x14ac:dyDescent="0.25">
      <c r="A85" s="1" t="s">
        <v>1349</v>
      </c>
      <c r="B85" s="1" t="s">
        <v>1337</v>
      </c>
      <c r="C85" s="1" t="s">
        <v>83</v>
      </c>
      <c r="D85" s="1" t="s">
        <v>1320</v>
      </c>
      <c r="E85" s="1">
        <v>64</v>
      </c>
      <c r="F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85" s="1">
        <v>1</v>
      </c>
      <c r="H85" s="1">
        <v>1</v>
      </c>
      <c r="I85" s="1">
        <f>Tabela1[[#This Row],[Siblings and Spouses]]+Tabela1[[#This Row],[Parents and Children]]</f>
        <v>2</v>
      </c>
      <c r="J85" s="3">
        <v>26.55</v>
      </c>
      <c r="K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5" s="2" t="s">
        <v>396</v>
      </c>
    </row>
    <row r="86" spans="1:12" x14ac:dyDescent="0.25">
      <c r="A86" s="1" t="s">
        <v>1349</v>
      </c>
      <c r="B86" s="1" t="s">
        <v>1348</v>
      </c>
      <c r="C86" s="1" t="s">
        <v>84</v>
      </c>
      <c r="D86" s="1" t="s">
        <v>1321</v>
      </c>
      <c r="E86" s="1">
        <v>39</v>
      </c>
      <c r="F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6" s="1">
        <v>1</v>
      </c>
      <c r="H86" s="1">
        <v>0</v>
      </c>
      <c r="I86" s="1">
        <f>Tabela1[[#This Row],[Siblings and Spouses]]+Tabela1[[#This Row],[Parents and Children]]</f>
        <v>1</v>
      </c>
      <c r="J86" s="3">
        <v>71.283299999999997</v>
      </c>
      <c r="K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6" s="2" t="s">
        <v>1318</v>
      </c>
    </row>
    <row r="87" spans="1:12" x14ac:dyDescent="0.25">
      <c r="A87" s="1" t="s">
        <v>1349</v>
      </c>
      <c r="B87" s="1" t="s">
        <v>1337</v>
      </c>
      <c r="C87" s="1" t="s">
        <v>85</v>
      </c>
      <c r="D87" s="1" t="s">
        <v>1320</v>
      </c>
      <c r="E87" s="1">
        <v>38</v>
      </c>
      <c r="F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7" s="1">
        <v>1</v>
      </c>
      <c r="H87" s="1">
        <v>0</v>
      </c>
      <c r="I87" s="1">
        <f>Tabela1[[#This Row],[Siblings and Spouses]]+Tabela1[[#This Row],[Parents and Children]]</f>
        <v>1</v>
      </c>
      <c r="J87" s="3">
        <v>71.283299999999997</v>
      </c>
      <c r="K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7" s="2" t="s">
        <v>1318</v>
      </c>
    </row>
    <row r="88" spans="1:12" x14ac:dyDescent="0.25">
      <c r="A88" s="1" t="s">
        <v>1349</v>
      </c>
      <c r="B88" s="1" t="s">
        <v>1337</v>
      </c>
      <c r="C88" s="1" t="s">
        <v>86</v>
      </c>
      <c r="D88" s="1" t="s">
        <v>1321</v>
      </c>
      <c r="E88" s="1">
        <v>51</v>
      </c>
      <c r="F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88" s="1">
        <v>0</v>
      </c>
      <c r="H88" s="1">
        <v>0</v>
      </c>
      <c r="I88" s="1">
        <f>Tabela1[[#This Row],[Siblings and Spouses]]+Tabela1[[#This Row],[Parents and Children]]</f>
        <v>0</v>
      </c>
      <c r="J88" s="3">
        <v>26.55</v>
      </c>
      <c r="K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8" s="2" t="s">
        <v>396</v>
      </c>
    </row>
    <row r="89" spans="1:12" x14ac:dyDescent="0.25">
      <c r="A89" s="1" t="s">
        <v>1349</v>
      </c>
      <c r="B89" s="1" t="s">
        <v>1337</v>
      </c>
      <c r="C89" s="1" t="s">
        <v>87</v>
      </c>
      <c r="D89" s="1" t="s">
        <v>1321</v>
      </c>
      <c r="E89" s="1">
        <v>27</v>
      </c>
      <c r="F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9" s="1">
        <v>0</v>
      </c>
      <c r="H89" s="1">
        <v>0</v>
      </c>
      <c r="I89" s="1">
        <f>Tabela1[[#This Row],[Siblings and Spouses]]+Tabela1[[#This Row],[Parents and Children]]</f>
        <v>0</v>
      </c>
      <c r="J89" s="3">
        <v>30.5</v>
      </c>
      <c r="K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9" s="2" t="s">
        <v>396</v>
      </c>
    </row>
    <row r="90" spans="1:12" x14ac:dyDescent="0.25">
      <c r="A90" s="1" t="s">
        <v>1349</v>
      </c>
      <c r="B90" s="1" t="s">
        <v>1337</v>
      </c>
      <c r="C90" s="1" t="s">
        <v>88</v>
      </c>
      <c r="D90" s="1" t="s">
        <v>1320</v>
      </c>
      <c r="E90" s="1">
        <v>33</v>
      </c>
      <c r="F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0" s="1">
        <v>0</v>
      </c>
      <c r="H90" s="1">
        <v>0</v>
      </c>
      <c r="I90" s="1">
        <f>Tabela1[[#This Row],[Siblings and Spouses]]+Tabela1[[#This Row],[Parents and Children]]</f>
        <v>0</v>
      </c>
      <c r="J90" s="3">
        <v>151.55000000000001</v>
      </c>
      <c r="K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90" s="2" t="s">
        <v>396</v>
      </c>
    </row>
    <row r="91" spans="1:12" x14ac:dyDescent="0.25">
      <c r="A91" s="1" t="s">
        <v>1349</v>
      </c>
      <c r="B91" s="1" t="s">
        <v>1348</v>
      </c>
      <c r="C91" s="1" t="s">
        <v>89</v>
      </c>
      <c r="D91" s="1" t="s">
        <v>1321</v>
      </c>
      <c r="E91" s="1">
        <v>31</v>
      </c>
      <c r="F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1" s="1">
        <v>1</v>
      </c>
      <c r="H91" s="1">
        <v>0</v>
      </c>
      <c r="I91" s="1">
        <f>Tabela1[[#This Row],[Siblings and Spouses]]+Tabela1[[#This Row],[Parents and Children]]</f>
        <v>1</v>
      </c>
      <c r="J91" s="3">
        <v>52</v>
      </c>
      <c r="K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1" s="2" t="s">
        <v>396</v>
      </c>
    </row>
    <row r="92" spans="1:12" x14ac:dyDescent="0.25">
      <c r="A92" s="1" t="s">
        <v>1349</v>
      </c>
      <c r="B92" s="1" t="s">
        <v>1337</v>
      </c>
      <c r="C92" s="1" t="s">
        <v>90</v>
      </c>
      <c r="D92" s="1" t="s">
        <v>1320</v>
      </c>
      <c r="E92" s="1">
        <v>27</v>
      </c>
      <c r="F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2" s="1">
        <v>1</v>
      </c>
      <c r="H92" s="1">
        <v>2</v>
      </c>
      <c r="I92" s="1">
        <f>Tabela1[[#This Row],[Siblings and Spouses]]+Tabela1[[#This Row],[Parents and Children]]</f>
        <v>3</v>
      </c>
      <c r="J92" s="3">
        <v>52</v>
      </c>
      <c r="K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2" s="2" t="s">
        <v>396</v>
      </c>
    </row>
    <row r="93" spans="1:12" x14ac:dyDescent="0.25">
      <c r="A93" s="1" t="s">
        <v>1349</v>
      </c>
      <c r="B93" s="1" t="s">
        <v>1337</v>
      </c>
      <c r="C93" s="1" t="s">
        <v>91</v>
      </c>
      <c r="D93" s="1" t="s">
        <v>1321</v>
      </c>
      <c r="E93" s="1">
        <v>31</v>
      </c>
      <c r="F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3" s="1">
        <v>1</v>
      </c>
      <c r="H93" s="1">
        <v>0</v>
      </c>
      <c r="I93" s="1">
        <f>Tabela1[[#This Row],[Siblings and Spouses]]+Tabela1[[#This Row],[Parents and Children]]</f>
        <v>1</v>
      </c>
      <c r="J93" s="3">
        <v>57</v>
      </c>
      <c r="K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3" s="2" t="s">
        <v>396</v>
      </c>
    </row>
    <row r="94" spans="1:12" x14ac:dyDescent="0.25">
      <c r="A94" s="1" t="s">
        <v>1349</v>
      </c>
      <c r="B94" s="1" t="s">
        <v>1337</v>
      </c>
      <c r="C94" s="1" t="s">
        <v>92</v>
      </c>
      <c r="D94" s="1" t="s">
        <v>1320</v>
      </c>
      <c r="E94" s="1">
        <v>17</v>
      </c>
      <c r="F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4" s="1">
        <v>1</v>
      </c>
      <c r="H94" s="1">
        <v>0</v>
      </c>
      <c r="I94" s="1">
        <f>Tabela1[[#This Row],[Siblings and Spouses]]+Tabela1[[#This Row],[Parents and Children]]</f>
        <v>1</v>
      </c>
      <c r="J94" s="3">
        <v>57</v>
      </c>
      <c r="K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4" s="2" t="s">
        <v>396</v>
      </c>
    </row>
    <row r="95" spans="1:12" x14ac:dyDescent="0.25">
      <c r="A95" s="1" t="s">
        <v>1349</v>
      </c>
      <c r="B95" s="1" t="s">
        <v>1337</v>
      </c>
      <c r="C95" s="1" t="s">
        <v>93</v>
      </c>
      <c r="D95" s="1" t="s">
        <v>1321</v>
      </c>
      <c r="E95" s="1">
        <v>53</v>
      </c>
      <c r="F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95" s="1">
        <v>1</v>
      </c>
      <c r="H95" s="1">
        <v>1</v>
      </c>
      <c r="I95" s="1">
        <f>Tabela1[[#This Row],[Siblings and Spouses]]+Tabela1[[#This Row],[Parents and Children]]</f>
        <v>2</v>
      </c>
      <c r="J95" s="3">
        <v>81.8583</v>
      </c>
      <c r="K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5" s="2" t="s">
        <v>396</v>
      </c>
    </row>
    <row r="96" spans="1:12" x14ac:dyDescent="0.25">
      <c r="A96" s="1" t="s">
        <v>1349</v>
      </c>
      <c r="B96" s="1" t="s">
        <v>1337</v>
      </c>
      <c r="C96" s="1" t="s">
        <v>94</v>
      </c>
      <c r="D96" s="1" t="s">
        <v>1321</v>
      </c>
      <c r="E96" s="1">
        <v>4</v>
      </c>
      <c r="F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6" s="1">
        <v>0</v>
      </c>
      <c r="H96" s="1">
        <v>2</v>
      </c>
      <c r="I96" s="1">
        <f>Tabela1[[#This Row],[Siblings and Spouses]]+Tabela1[[#This Row],[Parents and Children]]</f>
        <v>2</v>
      </c>
      <c r="J96" s="3">
        <v>81.8583</v>
      </c>
      <c r="K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6" s="2" t="s">
        <v>396</v>
      </c>
    </row>
    <row r="97" spans="1:12" x14ac:dyDescent="0.25">
      <c r="A97" s="1" t="s">
        <v>1349</v>
      </c>
      <c r="B97" s="1" t="s">
        <v>1337</v>
      </c>
      <c r="C97" s="1" t="s">
        <v>95</v>
      </c>
      <c r="D97" s="1" t="s">
        <v>1320</v>
      </c>
      <c r="E97" s="1">
        <v>54</v>
      </c>
      <c r="F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97" s="1">
        <v>1</v>
      </c>
      <c r="H97" s="1">
        <v>1</v>
      </c>
      <c r="I97" s="1">
        <f>Tabela1[[#This Row],[Siblings and Spouses]]+Tabela1[[#This Row],[Parents and Children]]</f>
        <v>2</v>
      </c>
      <c r="J97" s="3">
        <v>81.8583</v>
      </c>
      <c r="K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7" s="2" t="s">
        <v>396</v>
      </c>
    </row>
    <row r="98" spans="1:12" x14ac:dyDescent="0.25">
      <c r="A98" s="1" t="s">
        <v>1349</v>
      </c>
      <c r="B98" s="1" t="s">
        <v>1348</v>
      </c>
      <c r="C98" s="1" t="s">
        <v>96</v>
      </c>
      <c r="D98" s="1" t="s">
        <v>1321</v>
      </c>
      <c r="E98" s="1">
        <v>50</v>
      </c>
      <c r="F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98" s="1">
        <v>1</v>
      </c>
      <c r="H98" s="1">
        <v>0</v>
      </c>
      <c r="I98" s="1">
        <f>Tabela1[[#This Row],[Siblings and Spouses]]+Tabela1[[#This Row],[Parents and Children]]</f>
        <v>1</v>
      </c>
      <c r="J98" s="3">
        <v>106.425</v>
      </c>
      <c r="K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98" s="2" t="s">
        <v>1318</v>
      </c>
    </row>
    <row r="99" spans="1:12" x14ac:dyDescent="0.25">
      <c r="A99" s="1" t="s">
        <v>1349</v>
      </c>
      <c r="B99" s="1" t="s">
        <v>1337</v>
      </c>
      <c r="C99" s="1" t="s">
        <v>97</v>
      </c>
      <c r="D99" s="1" t="s">
        <v>1320</v>
      </c>
      <c r="E99" s="1">
        <v>27</v>
      </c>
      <c r="F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9" s="1">
        <v>1</v>
      </c>
      <c r="H99" s="1">
        <v>1</v>
      </c>
      <c r="I99" s="1">
        <f>Tabela1[[#This Row],[Siblings and Spouses]]+Tabela1[[#This Row],[Parents and Children]]</f>
        <v>2</v>
      </c>
      <c r="J99" s="3">
        <v>247.52080000000001</v>
      </c>
      <c r="K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99" s="2" t="s">
        <v>1318</v>
      </c>
    </row>
    <row r="100" spans="1:12" x14ac:dyDescent="0.25">
      <c r="A100" s="1" t="s">
        <v>1349</v>
      </c>
      <c r="B100" s="1" t="s">
        <v>1337</v>
      </c>
      <c r="C100" s="1" t="s">
        <v>98</v>
      </c>
      <c r="D100" s="1" t="s">
        <v>1320</v>
      </c>
      <c r="E100" s="1">
        <v>48</v>
      </c>
      <c r="F1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00" s="1">
        <v>1</v>
      </c>
      <c r="H100" s="1">
        <v>0</v>
      </c>
      <c r="I100" s="1">
        <f>Tabela1[[#This Row],[Siblings and Spouses]]+Tabela1[[#This Row],[Parents and Children]]</f>
        <v>1</v>
      </c>
      <c r="J100" s="3">
        <v>106.425</v>
      </c>
      <c r="K1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100" s="2" t="s">
        <v>1318</v>
      </c>
    </row>
    <row r="101" spans="1:12" x14ac:dyDescent="0.25">
      <c r="A101" s="1" t="s">
        <v>1349</v>
      </c>
      <c r="B101" s="1" t="s">
        <v>1337</v>
      </c>
      <c r="C101" s="1" t="s">
        <v>99</v>
      </c>
      <c r="D101" s="1" t="s">
        <v>1320</v>
      </c>
      <c r="E101" s="1">
        <v>48</v>
      </c>
      <c r="F1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01" s="1">
        <v>1</v>
      </c>
      <c r="H101" s="1">
        <v>0</v>
      </c>
      <c r="I101" s="1">
        <f>Tabela1[[#This Row],[Siblings and Spouses]]+Tabela1[[#This Row],[Parents and Children]]</f>
        <v>1</v>
      </c>
      <c r="J101" s="3">
        <v>39.6</v>
      </c>
      <c r="K1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01" s="2" t="s">
        <v>1318</v>
      </c>
    </row>
    <row r="102" spans="1:12" x14ac:dyDescent="0.25">
      <c r="A102" s="1" t="s">
        <v>1349</v>
      </c>
      <c r="B102" s="1" t="s">
        <v>1337</v>
      </c>
      <c r="C102" s="1" t="s">
        <v>100</v>
      </c>
      <c r="D102" s="1" t="s">
        <v>1321</v>
      </c>
      <c r="E102" s="1">
        <v>49</v>
      </c>
      <c r="F1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02" s="1">
        <v>1</v>
      </c>
      <c r="H102" s="1">
        <v>0</v>
      </c>
      <c r="I102" s="1">
        <f>Tabela1[[#This Row],[Siblings and Spouses]]+Tabela1[[#This Row],[Parents and Children]]</f>
        <v>1</v>
      </c>
      <c r="J102" s="3">
        <v>56.929200000000002</v>
      </c>
      <c r="K1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02" s="2" t="s">
        <v>1318</v>
      </c>
    </row>
    <row r="103" spans="1:12" x14ac:dyDescent="0.25">
      <c r="A103" s="1" t="s">
        <v>1349</v>
      </c>
      <c r="B103" s="1" t="s">
        <v>1348</v>
      </c>
      <c r="C103" s="1" t="s">
        <v>101</v>
      </c>
      <c r="D103" s="1" t="s">
        <v>1321</v>
      </c>
      <c r="E103" s="1">
        <v>39</v>
      </c>
      <c r="F1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3" s="1">
        <v>0</v>
      </c>
      <c r="H103" s="1">
        <v>0</v>
      </c>
      <c r="I103" s="1">
        <f>Tabela1[[#This Row],[Siblings and Spouses]]+Tabela1[[#This Row],[Parents and Children]]</f>
        <v>0</v>
      </c>
      <c r="J103" s="3">
        <v>29.7</v>
      </c>
      <c r="K1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03" s="2" t="s">
        <v>1318</v>
      </c>
    </row>
    <row r="104" spans="1:12" x14ac:dyDescent="0.25">
      <c r="A104" s="1" t="s">
        <v>1349</v>
      </c>
      <c r="B104" s="1" t="s">
        <v>1337</v>
      </c>
      <c r="C104" s="1" t="s">
        <v>102</v>
      </c>
      <c r="D104" s="1" t="s">
        <v>1320</v>
      </c>
      <c r="E104" s="1">
        <v>23</v>
      </c>
      <c r="F1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4" s="1">
        <v>0</v>
      </c>
      <c r="H104" s="1">
        <v>1</v>
      </c>
      <c r="I104" s="1">
        <f>Tabela1[[#This Row],[Siblings and Spouses]]+Tabela1[[#This Row],[Parents and Children]]</f>
        <v>1</v>
      </c>
      <c r="J104" s="3">
        <v>83.158299999999997</v>
      </c>
      <c r="K1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04" s="2" t="s">
        <v>1318</v>
      </c>
    </row>
    <row r="105" spans="1:12" x14ac:dyDescent="0.25">
      <c r="A105" s="1" t="s">
        <v>1349</v>
      </c>
      <c r="B105" s="1" t="s">
        <v>1337</v>
      </c>
      <c r="C105" s="1" t="s">
        <v>103</v>
      </c>
      <c r="D105" s="1" t="s">
        <v>1320</v>
      </c>
      <c r="E105" s="1">
        <v>38</v>
      </c>
      <c r="F1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5" s="1">
        <v>0</v>
      </c>
      <c r="H105" s="1">
        <v>0</v>
      </c>
      <c r="I105" s="1">
        <f>Tabela1[[#This Row],[Siblings and Spouses]]+Tabela1[[#This Row],[Parents and Children]]</f>
        <v>0</v>
      </c>
      <c r="J105" s="3">
        <v>227.52500000000001</v>
      </c>
      <c r="K1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05" s="2" t="s">
        <v>1318</v>
      </c>
    </row>
    <row r="106" spans="1:12" x14ac:dyDescent="0.25">
      <c r="A106" s="1" t="s">
        <v>1349</v>
      </c>
      <c r="B106" s="1" t="s">
        <v>1337</v>
      </c>
      <c r="C106" s="1" t="s">
        <v>104</v>
      </c>
      <c r="D106" s="1" t="s">
        <v>1320</v>
      </c>
      <c r="E106" s="1">
        <v>54</v>
      </c>
      <c r="F1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06" s="1">
        <v>1</v>
      </c>
      <c r="H106" s="1">
        <v>0</v>
      </c>
      <c r="I106" s="1">
        <f>Tabela1[[#This Row],[Siblings and Spouses]]+Tabela1[[#This Row],[Parents and Children]]</f>
        <v>1</v>
      </c>
      <c r="J106" s="3">
        <v>78.2667</v>
      </c>
      <c r="K1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06" s="2" t="s">
        <v>1318</v>
      </c>
    </row>
    <row r="107" spans="1:12" x14ac:dyDescent="0.25">
      <c r="A107" s="1" t="s">
        <v>1349</v>
      </c>
      <c r="B107" s="1" t="s">
        <v>1348</v>
      </c>
      <c r="C107" s="1" t="s">
        <v>105</v>
      </c>
      <c r="D107" s="1" t="s">
        <v>1320</v>
      </c>
      <c r="E107" s="1">
        <v>36</v>
      </c>
      <c r="F1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7" s="1">
        <v>0</v>
      </c>
      <c r="H107" s="1">
        <v>0</v>
      </c>
      <c r="I107" s="1">
        <f>Tabela1[[#This Row],[Siblings and Spouses]]+Tabela1[[#This Row],[Parents and Children]]</f>
        <v>0</v>
      </c>
      <c r="J107" s="3">
        <v>31.679200000000002</v>
      </c>
      <c r="K1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07" s="2" t="s">
        <v>1318</v>
      </c>
    </row>
    <row r="108" spans="1:12" x14ac:dyDescent="0.25">
      <c r="A108" s="1" t="s">
        <v>1349</v>
      </c>
      <c r="B108" s="1" t="s">
        <v>1348</v>
      </c>
      <c r="C108" s="1" t="s">
        <v>106</v>
      </c>
      <c r="D108" s="1" t="s">
        <v>1321</v>
      </c>
      <c r="E108" s="1" t="s">
        <v>1323</v>
      </c>
      <c r="F1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8" s="1">
        <v>0</v>
      </c>
      <c r="H108" s="1">
        <v>0</v>
      </c>
      <c r="I108" s="1">
        <f>Tabela1[[#This Row],[Siblings and Spouses]]+Tabela1[[#This Row],[Parents and Children]]</f>
        <v>0</v>
      </c>
      <c r="J108" s="3">
        <v>221.7792</v>
      </c>
      <c r="K1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08" s="2" t="s">
        <v>396</v>
      </c>
    </row>
    <row r="109" spans="1:12" x14ac:dyDescent="0.25">
      <c r="A109" s="1" t="s">
        <v>1349</v>
      </c>
      <c r="B109" s="1" t="s">
        <v>1337</v>
      </c>
      <c r="C109" s="1" t="s">
        <v>107</v>
      </c>
      <c r="D109" s="1" t="s">
        <v>1320</v>
      </c>
      <c r="E109" s="1" t="s">
        <v>1323</v>
      </c>
      <c r="F1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9" s="1">
        <v>0</v>
      </c>
      <c r="H109" s="1">
        <v>0</v>
      </c>
      <c r="I109" s="1">
        <f>Tabela1[[#This Row],[Siblings and Spouses]]+Tabela1[[#This Row],[Parents and Children]]</f>
        <v>0</v>
      </c>
      <c r="J109" s="3">
        <v>31.683299999999999</v>
      </c>
      <c r="K1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09" s="2" t="s">
        <v>396</v>
      </c>
    </row>
    <row r="110" spans="1:12" x14ac:dyDescent="0.25">
      <c r="A110" s="1" t="s">
        <v>1349</v>
      </c>
      <c r="B110" s="1" t="s">
        <v>1337</v>
      </c>
      <c r="C110" s="1" t="s">
        <v>108</v>
      </c>
      <c r="D110" s="1" t="s">
        <v>1320</v>
      </c>
      <c r="E110" s="1" t="s">
        <v>1323</v>
      </c>
      <c r="F1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0" s="1">
        <v>0</v>
      </c>
      <c r="H110" s="1">
        <v>0</v>
      </c>
      <c r="I110" s="1">
        <f>Tabela1[[#This Row],[Siblings and Spouses]]+Tabela1[[#This Row],[Parents and Children]]</f>
        <v>0</v>
      </c>
      <c r="J110" s="3">
        <v>110.88330000000001</v>
      </c>
      <c r="K1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110" s="2" t="s">
        <v>1318</v>
      </c>
    </row>
    <row r="111" spans="1:12" x14ac:dyDescent="0.25">
      <c r="A111" s="1" t="s">
        <v>1349</v>
      </c>
      <c r="B111" s="1" t="s">
        <v>1337</v>
      </c>
      <c r="C111" s="1" t="s">
        <v>109</v>
      </c>
      <c r="D111" s="1" t="s">
        <v>1321</v>
      </c>
      <c r="E111" s="1">
        <v>36</v>
      </c>
      <c r="F1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1" s="1">
        <v>0</v>
      </c>
      <c r="H111" s="1">
        <v>0</v>
      </c>
      <c r="I111" s="1">
        <f>Tabela1[[#This Row],[Siblings and Spouses]]+Tabela1[[#This Row],[Parents and Children]]</f>
        <v>0</v>
      </c>
      <c r="J111" s="3">
        <v>26.387499999999999</v>
      </c>
      <c r="K1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1" s="2" t="s">
        <v>396</v>
      </c>
    </row>
    <row r="112" spans="1:12" x14ac:dyDescent="0.25">
      <c r="A112" s="1" t="s">
        <v>1349</v>
      </c>
      <c r="B112" s="1" t="s">
        <v>1348</v>
      </c>
      <c r="C112" s="1" t="s">
        <v>110</v>
      </c>
      <c r="D112" s="1" t="s">
        <v>1321</v>
      </c>
      <c r="E112" s="1">
        <v>30</v>
      </c>
      <c r="F1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" s="1">
        <v>0</v>
      </c>
      <c r="H112" s="1">
        <v>0</v>
      </c>
      <c r="I112" s="1">
        <f>Tabela1[[#This Row],[Siblings and Spouses]]+Tabela1[[#This Row],[Parents and Children]]</f>
        <v>0</v>
      </c>
      <c r="J112" s="3">
        <v>27.75</v>
      </c>
      <c r="K1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2" s="2" t="s">
        <v>1318</v>
      </c>
    </row>
    <row r="113" spans="1:12" x14ac:dyDescent="0.25">
      <c r="A113" s="1" t="s">
        <v>1349</v>
      </c>
      <c r="B113" s="1" t="s">
        <v>1337</v>
      </c>
      <c r="C113" s="1" t="s">
        <v>111</v>
      </c>
      <c r="D113" s="1" t="s">
        <v>1320</v>
      </c>
      <c r="E113" s="1">
        <v>24</v>
      </c>
      <c r="F1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3" s="1">
        <v>3</v>
      </c>
      <c r="H113" s="1">
        <v>2</v>
      </c>
      <c r="I113" s="1">
        <f>Tabela1[[#This Row],[Siblings and Spouses]]+Tabela1[[#This Row],[Parents and Children]]</f>
        <v>5</v>
      </c>
      <c r="J113" s="3">
        <v>263</v>
      </c>
      <c r="K1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13" s="2" t="s">
        <v>396</v>
      </c>
    </row>
    <row r="114" spans="1:12" x14ac:dyDescent="0.25">
      <c r="A114" s="1" t="s">
        <v>1349</v>
      </c>
      <c r="B114" s="1" t="s">
        <v>1337</v>
      </c>
      <c r="C114" s="1" t="s">
        <v>112</v>
      </c>
      <c r="D114" s="1" t="s">
        <v>1320</v>
      </c>
      <c r="E114" s="1">
        <v>28</v>
      </c>
      <c r="F1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4" s="1">
        <v>3</v>
      </c>
      <c r="H114" s="1">
        <v>2</v>
      </c>
      <c r="I114" s="1">
        <f>Tabela1[[#This Row],[Siblings and Spouses]]+Tabela1[[#This Row],[Parents and Children]]</f>
        <v>5</v>
      </c>
      <c r="J114" s="3">
        <v>263</v>
      </c>
      <c r="K1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14" s="2" t="s">
        <v>396</v>
      </c>
    </row>
    <row r="115" spans="1:12" x14ac:dyDescent="0.25">
      <c r="A115" s="1" t="s">
        <v>1349</v>
      </c>
      <c r="B115" s="1" t="s">
        <v>1337</v>
      </c>
      <c r="C115" s="1" t="s">
        <v>113</v>
      </c>
      <c r="D115" s="1" t="s">
        <v>1320</v>
      </c>
      <c r="E115" s="1">
        <v>23</v>
      </c>
      <c r="F1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5" s="1">
        <v>3</v>
      </c>
      <c r="H115" s="1">
        <v>2</v>
      </c>
      <c r="I115" s="1">
        <f>Tabela1[[#This Row],[Siblings and Spouses]]+Tabela1[[#This Row],[Parents and Children]]</f>
        <v>5</v>
      </c>
      <c r="J115" s="3">
        <v>263</v>
      </c>
      <c r="K1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15" s="2" t="s">
        <v>396</v>
      </c>
    </row>
    <row r="116" spans="1:12" x14ac:dyDescent="0.25">
      <c r="A116" s="1" t="s">
        <v>1349</v>
      </c>
      <c r="B116" s="1" t="s">
        <v>1348</v>
      </c>
      <c r="C116" s="1" t="s">
        <v>114</v>
      </c>
      <c r="D116" s="1" t="s">
        <v>1321</v>
      </c>
      <c r="E116" s="1">
        <v>19</v>
      </c>
      <c r="F1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6" s="1">
        <v>3</v>
      </c>
      <c r="H116" s="1">
        <v>2</v>
      </c>
      <c r="I116" s="1">
        <f>Tabela1[[#This Row],[Siblings and Spouses]]+Tabela1[[#This Row],[Parents and Children]]</f>
        <v>5</v>
      </c>
      <c r="J116" s="3">
        <v>263</v>
      </c>
      <c r="K1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16" s="2" t="s">
        <v>396</v>
      </c>
    </row>
    <row r="117" spans="1:12" x14ac:dyDescent="0.25">
      <c r="A117" s="1" t="s">
        <v>1349</v>
      </c>
      <c r="B117" s="1" t="s">
        <v>1348</v>
      </c>
      <c r="C117" s="1" t="s">
        <v>115</v>
      </c>
      <c r="D117" s="1" t="s">
        <v>1321</v>
      </c>
      <c r="E117" s="1">
        <v>64</v>
      </c>
      <c r="F1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117" s="1">
        <v>1</v>
      </c>
      <c r="H117" s="1">
        <v>4</v>
      </c>
      <c r="I117" s="1">
        <f>Tabela1[[#This Row],[Siblings and Spouses]]+Tabela1[[#This Row],[Parents and Children]]</f>
        <v>5</v>
      </c>
      <c r="J117" s="3">
        <v>263</v>
      </c>
      <c r="K1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17" s="2" t="s">
        <v>396</v>
      </c>
    </row>
    <row r="118" spans="1:12" x14ac:dyDescent="0.25">
      <c r="A118" s="1" t="s">
        <v>1349</v>
      </c>
      <c r="B118" s="1" t="s">
        <v>1337</v>
      </c>
      <c r="C118" s="1" t="s">
        <v>116</v>
      </c>
      <c r="D118" s="1" t="s">
        <v>1320</v>
      </c>
      <c r="E118" s="1">
        <v>60</v>
      </c>
      <c r="F1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18" s="1">
        <v>1</v>
      </c>
      <c r="H118" s="1">
        <v>4</v>
      </c>
      <c r="I118" s="1">
        <f>Tabela1[[#This Row],[Siblings and Spouses]]+Tabela1[[#This Row],[Parents and Children]]</f>
        <v>5</v>
      </c>
      <c r="J118" s="3">
        <v>263</v>
      </c>
      <c r="K1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18" s="2" t="s">
        <v>396</v>
      </c>
    </row>
    <row r="119" spans="1:12" x14ac:dyDescent="0.25">
      <c r="A119" s="1" t="s">
        <v>1349</v>
      </c>
      <c r="B119" s="1" t="s">
        <v>1337</v>
      </c>
      <c r="C119" s="1" t="s">
        <v>117</v>
      </c>
      <c r="D119" s="1" t="s">
        <v>1320</v>
      </c>
      <c r="E119" s="1">
        <v>30</v>
      </c>
      <c r="F1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9" s="1">
        <v>0</v>
      </c>
      <c r="H119" s="1">
        <v>0</v>
      </c>
      <c r="I119" s="1">
        <f>Tabela1[[#This Row],[Siblings and Spouses]]+Tabela1[[#This Row],[Parents and Children]]</f>
        <v>0</v>
      </c>
      <c r="J119" s="3">
        <v>56.929200000000002</v>
      </c>
      <c r="K1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9" s="2" t="s">
        <v>1318</v>
      </c>
    </row>
    <row r="120" spans="1:12" x14ac:dyDescent="0.25">
      <c r="A120" s="1" t="s">
        <v>1349</v>
      </c>
      <c r="B120" s="1" t="s">
        <v>1348</v>
      </c>
      <c r="C120" s="1" t="s">
        <v>118</v>
      </c>
      <c r="D120" s="1" t="s">
        <v>1321</v>
      </c>
      <c r="E120" s="1" t="s">
        <v>1323</v>
      </c>
      <c r="F1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0" s="1">
        <v>0</v>
      </c>
      <c r="H120" s="1">
        <v>0</v>
      </c>
      <c r="I120" s="1">
        <f>Tabela1[[#This Row],[Siblings and Spouses]]+Tabela1[[#This Row],[Parents and Children]]</f>
        <v>0</v>
      </c>
      <c r="J120" s="3">
        <v>26.55</v>
      </c>
      <c r="K1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0" s="2" t="s">
        <v>396</v>
      </c>
    </row>
    <row r="121" spans="1:12" x14ac:dyDescent="0.25">
      <c r="A121" s="1" t="s">
        <v>1349</v>
      </c>
      <c r="B121" s="1" t="s">
        <v>1337</v>
      </c>
      <c r="C121" s="1" t="s">
        <v>119</v>
      </c>
      <c r="D121" s="1" t="s">
        <v>1321</v>
      </c>
      <c r="E121" s="1">
        <v>50</v>
      </c>
      <c r="F1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1" s="1">
        <v>2</v>
      </c>
      <c r="H121" s="1">
        <v>0</v>
      </c>
      <c r="I121" s="1">
        <f>Tabela1[[#This Row],[Siblings and Spouses]]+Tabela1[[#This Row],[Parents and Children]]</f>
        <v>2</v>
      </c>
      <c r="J121" s="3">
        <v>133.65</v>
      </c>
      <c r="K1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121" s="2" t="s">
        <v>396</v>
      </c>
    </row>
    <row r="122" spans="1:12" x14ac:dyDescent="0.25">
      <c r="A122" s="1" t="s">
        <v>1349</v>
      </c>
      <c r="B122" s="1" t="s">
        <v>1337</v>
      </c>
      <c r="C122" s="1" t="s">
        <v>120</v>
      </c>
      <c r="D122" s="1" t="s">
        <v>1321</v>
      </c>
      <c r="E122" s="1">
        <v>43</v>
      </c>
      <c r="F1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2" s="1">
        <v>1</v>
      </c>
      <c r="H122" s="1">
        <v>0</v>
      </c>
      <c r="I122" s="1">
        <f>Tabela1[[#This Row],[Siblings and Spouses]]+Tabela1[[#This Row],[Parents and Children]]</f>
        <v>1</v>
      </c>
      <c r="J122" s="3">
        <v>27.720800000000001</v>
      </c>
      <c r="K1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2" s="2" t="s">
        <v>1318</v>
      </c>
    </row>
    <row r="123" spans="1:12" x14ac:dyDescent="0.25">
      <c r="A123" s="1" t="s">
        <v>1349</v>
      </c>
      <c r="B123" s="1" t="s">
        <v>1337</v>
      </c>
      <c r="C123" s="1" t="s">
        <v>121</v>
      </c>
      <c r="D123" s="1" t="s">
        <v>1320</v>
      </c>
      <c r="E123" s="1" t="s">
        <v>1323</v>
      </c>
      <c r="F1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3" s="1">
        <v>1</v>
      </c>
      <c r="H123" s="1">
        <v>0</v>
      </c>
      <c r="I123" s="1">
        <f>Tabela1[[#This Row],[Siblings and Spouses]]+Tabela1[[#This Row],[Parents and Children]]</f>
        <v>1</v>
      </c>
      <c r="J123" s="3">
        <v>133.65</v>
      </c>
      <c r="K1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123" s="2" t="s">
        <v>396</v>
      </c>
    </row>
    <row r="124" spans="1:12" x14ac:dyDescent="0.25">
      <c r="A124" s="1" t="s">
        <v>1349</v>
      </c>
      <c r="B124" s="1" t="s">
        <v>1337</v>
      </c>
      <c r="C124" s="1" t="s">
        <v>122</v>
      </c>
      <c r="D124" s="1" t="s">
        <v>1320</v>
      </c>
      <c r="E124" s="1">
        <v>22</v>
      </c>
      <c r="F1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4" s="1">
        <v>0</v>
      </c>
      <c r="H124" s="1">
        <v>2</v>
      </c>
      <c r="I124" s="1">
        <f>Tabela1[[#This Row],[Siblings and Spouses]]+Tabela1[[#This Row],[Parents and Children]]</f>
        <v>2</v>
      </c>
      <c r="J124" s="3">
        <v>49.5</v>
      </c>
      <c r="K1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4" s="2" t="s">
        <v>1318</v>
      </c>
    </row>
    <row r="125" spans="1:12" x14ac:dyDescent="0.25">
      <c r="A125" s="1" t="s">
        <v>1349</v>
      </c>
      <c r="B125" s="1" t="s">
        <v>1337</v>
      </c>
      <c r="C125" s="1" t="s">
        <v>123</v>
      </c>
      <c r="D125" s="1" t="s">
        <v>1321</v>
      </c>
      <c r="E125" s="1">
        <v>60</v>
      </c>
      <c r="F1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25" s="1">
        <v>1</v>
      </c>
      <c r="H125" s="1">
        <v>1</v>
      </c>
      <c r="I125" s="1">
        <f>Tabela1[[#This Row],[Siblings and Spouses]]+Tabela1[[#This Row],[Parents and Children]]</f>
        <v>2</v>
      </c>
      <c r="J125" s="3">
        <v>79.2</v>
      </c>
      <c r="K1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25" s="2" t="s">
        <v>1318</v>
      </c>
    </row>
    <row r="126" spans="1:12" x14ac:dyDescent="0.25">
      <c r="A126" s="1" t="s">
        <v>1349</v>
      </c>
      <c r="B126" s="1" t="s">
        <v>1337</v>
      </c>
      <c r="C126" s="1" t="s">
        <v>124</v>
      </c>
      <c r="D126" s="1" t="s">
        <v>1320</v>
      </c>
      <c r="E126" s="1">
        <v>48</v>
      </c>
      <c r="F1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6" s="1">
        <v>1</v>
      </c>
      <c r="H126" s="1">
        <v>1</v>
      </c>
      <c r="I126" s="1">
        <f>Tabela1[[#This Row],[Siblings and Spouses]]+Tabela1[[#This Row],[Parents and Children]]</f>
        <v>2</v>
      </c>
      <c r="J126" s="3">
        <v>79.2</v>
      </c>
      <c r="K1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26" s="2" t="s">
        <v>1318</v>
      </c>
    </row>
    <row r="127" spans="1:12" x14ac:dyDescent="0.25">
      <c r="A127" s="1" t="s">
        <v>1349</v>
      </c>
      <c r="B127" s="1" t="s">
        <v>1348</v>
      </c>
      <c r="C127" s="1" t="s">
        <v>125</v>
      </c>
      <c r="D127" s="1" t="s">
        <v>1321</v>
      </c>
      <c r="E127" s="1" t="s">
        <v>1323</v>
      </c>
      <c r="F1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7" s="1">
        <v>0</v>
      </c>
      <c r="H127" s="1">
        <v>0</v>
      </c>
      <c r="I127" s="1">
        <f>Tabela1[[#This Row],[Siblings and Spouses]]+Tabela1[[#This Row],[Parents and Children]]</f>
        <v>0</v>
      </c>
      <c r="J127" s="3">
        <v>0</v>
      </c>
      <c r="K1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" s="2" t="s">
        <v>396</v>
      </c>
    </row>
    <row r="128" spans="1:12" x14ac:dyDescent="0.25">
      <c r="A128" s="1" t="s">
        <v>1349</v>
      </c>
      <c r="B128" s="1" t="s">
        <v>1348</v>
      </c>
      <c r="C128" s="1" t="s">
        <v>126</v>
      </c>
      <c r="D128" s="1" t="s">
        <v>1321</v>
      </c>
      <c r="E128" s="1">
        <v>37</v>
      </c>
      <c r="F1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8" s="1">
        <v>1</v>
      </c>
      <c r="H128" s="1">
        <v>0</v>
      </c>
      <c r="I128" s="1">
        <f>Tabela1[[#This Row],[Siblings and Spouses]]+Tabela1[[#This Row],[Parents and Children]]</f>
        <v>1</v>
      </c>
      <c r="J128" s="3">
        <v>53.1</v>
      </c>
      <c r="K1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28" s="2" t="s">
        <v>396</v>
      </c>
    </row>
    <row r="129" spans="1:12" x14ac:dyDescent="0.25">
      <c r="A129" s="1" t="s">
        <v>1349</v>
      </c>
      <c r="B129" s="1" t="s">
        <v>1337</v>
      </c>
      <c r="C129" s="1" t="s">
        <v>127</v>
      </c>
      <c r="D129" s="1" t="s">
        <v>1320</v>
      </c>
      <c r="E129" s="1">
        <v>35</v>
      </c>
      <c r="F1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9" s="1">
        <v>1</v>
      </c>
      <c r="H129" s="1">
        <v>0</v>
      </c>
      <c r="I129" s="1">
        <f>Tabela1[[#This Row],[Siblings and Spouses]]+Tabela1[[#This Row],[Parents and Children]]</f>
        <v>1</v>
      </c>
      <c r="J129" s="3">
        <v>53.1</v>
      </c>
      <c r="K1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29" s="2" t="s">
        <v>396</v>
      </c>
    </row>
    <row r="130" spans="1:12" x14ac:dyDescent="0.25">
      <c r="A130" s="1" t="s">
        <v>1349</v>
      </c>
      <c r="B130" s="1" t="s">
        <v>1348</v>
      </c>
      <c r="C130" s="1" t="s">
        <v>128</v>
      </c>
      <c r="D130" s="1" t="s">
        <v>1321</v>
      </c>
      <c r="E130" s="1">
        <v>47</v>
      </c>
      <c r="F1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30" s="1">
        <v>0</v>
      </c>
      <c r="H130" s="1">
        <v>0</v>
      </c>
      <c r="I130" s="1">
        <f>Tabela1[[#This Row],[Siblings and Spouses]]+Tabela1[[#This Row],[Parents and Children]]</f>
        <v>0</v>
      </c>
      <c r="J130" s="3">
        <v>38.5</v>
      </c>
      <c r="K1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30" s="2" t="s">
        <v>396</v>
      </c>
    </row>
    <row r="131" spans="1:12" x14ac:dyDescent="0.25">
      <c r="A131" s="1" t="s">
        <v>1349</v>
      </c>
      <c r="B131" s="1" t="s">
        <v>1337</v>
      </c>
      <c r="C131" s="1" t="s">
        <v>129</v>
      </c>
      <c r="D131" s="1" t="s">
        <v>1320</v>
      </c>
      <c r="E131" s="1">
        <v>35</v>
      </c>
      <c r="F1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31" s="1">
        <v>0</v>
      </c>
      <c r="H131" s="1">
        <v>0</v>
      </c>
      <c r="I131" s="1">
        <f>Tabela1[[#This Row],[Siblings and Spouses]]+Tabela1[[#This Row],[Parents and Children]]</f>
        <v>0</v>
      </c>
      <c r="J131" s="3">
        <v>211.5</v>
      </c>
      <c r="K1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31" s="2" t="s">
        <v>1318</v>
      </c>
    </row>
    <row r="132" spans="1:12" x14ac:dyDescent="0.25">
      <c r="A132" s="1" t="s">
        <v>1349</v>
      </c>
      <c r="B132" s="1" t="s">
        <v>1337</v>
      </c>
      <c r="C132" s="1" t="s">
        <v>130</v>
      </c>
      <c r="D132" s="1" t="s">
        <v>1320</v>
      </c>
      <c r="E132" s="1">
        <v>22</v>
      </c>
      <c r="F1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2" s="1">
        <v>0</v>
      </c>
      <c r="H132" s="1">
        <v>1</v>
      </c>
      <c r="I132" s="1">
        <f>Tabela1[[#This Row],[Siblings and Spouses]]+Tabela1[[#This Row],[Parents and Children]]</f>
        <v>1</v>
      </c>
      <c r="J132" s="3">
        <v>59.4</v>
      </c>
      <c r="K1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32" s="2" t="s">
        <v>1318</v>
      </c>
    </row>
    <row r="133" spans="1:12" x14ac:dyDescent="0.25">
      <c r="A133" s="1" t="s">
        <v>1349</v>
      </c>
      <c r="B133" s="1" t="s">
        <v>1337</v>
      </c>
      <c r="C133" s="1" t="s">
        <v>131</v>
      </c>
      <c r="D133" s="1" t="s">
        <v>1320</v>
      </c>
      <c r="E133" s="1">
        <v>45</v>
      </c>
      <c r="F1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33" s="1">
        <v>0</v>
      </c>
      <c r="H133" s="1">
        <v>1</v>
      </c>
      <c r="I133" s="1">
        <f>Tabela1[[#This Row],[Siblings and Spouses]]+Tabela1[[#This Row],[Parents and Children]]</f>
        <v>1</v>
      </c>
      <c r="J133" s="3">
        <v>59.4</v>
      </c>
      <c r="K1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33" s="2" t="s">
        <v>1318</v>
      </c>
    </row>
    <row r="134" spans="1:12" x14ac:dyDescent="0.25">
      <c r="A134" s="1" t="s">
        <v>1349</v>
      </c>
      <c r="B134" s="1" t="s">
        <v>1348</v>
      </c>
      <c r="C134" s="1" t="s">
        <v>132</v>
      </c>
      <c r="D134" s="1" t="s">
        <v>1321</v>
      </c>
      <c r="E134" s="1">
        <v>24</v>
      </c>
      <c r="F1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4" s="1">
        <v>0</v>
      </c>
      <c r="H134" s="1">
        <v>0</v>
      </c>
      <c r="I134" s="1">
        <f>Tabela1[[#This Row],[Siblings and Spouses]]+Tabela1[[#This Row],[Parents and Children]]</f>
        <v>0</v>
      </c>
      <c r="J134" s="3">
        <v>79.2</v>
      </c>
      <c r="K1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34" s="2" t="s">
        <v>1318</v>
      </c>
    </row>
    <row r="135" spans="1:12" x14ac:dyDescent="0.25">
      <c r="A135" s="1" t="s">
        <v>1349</v>
      </c>
      <c r="B135" s="1" t="s">
        <v>1337</v>
      </c>
      <c r="C135" s="1" t="s">
        <v>133</v>
      </c>
      <c r="D135" s="1" t="s">
        <v>1321</v>
      </c>
      <c r="E135" s="1">
        <v>49</v>
      </c>
      <c r="F1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35" s="1">
        <v>1</v>
      </c>
      <c r="H135" s="1">
        <v>0</v>
      </c>
      <c r="I135" s="1">
        <f>Tabela1[[#This Row],[Siblings and Spouses]]+Tabela1[[#This Row],[Parents and Children]]</f>
        <v>1</v>
      </c>
      <c r="J135" s="3">
        <v>89.104200000000006</v>
      </c>
      <c r="K1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35" s="2" t="s">
        <v>1318</v>
      </c>
    </row>
    <row r="136" spans="1:12" x14ac:dyDescent="0.25">
      <c r="A136" s="1" t="s">
        <v>1349</v>
      </c>
      <c r="B136" s="1" t="s">
        <v>1337</v>
      </c>
      <c r="C136" s="1" t="s">
        <v>134</v>
      </c>
      <c r="D136" s="1" t="s">
        <v>1320</v>
      </c>
      <c r="E136" s="1" t="s">
        <v>1323</v>
      </c>
      <c r="F1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36" s="1">
        <v>1</v>
      </c>
      <c r="H136" s="1">
        <v>0</v>
      </c>
      <c r="I136" s="1">
        <f>Tabela1[[#This Row],[Siblings and Spouses]]+Tabela1[[#This Row],[Parents and Children]]</f>
        <v>1</v>
      </c>
      <c r="J136" s="3">
        <v>89.104200000000006</v>
      </c>
      <c r="K1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36" s="2" t="s">
        <v>1318</v>
      </c>
    </row>
    <row r="137" spans="1:12" x14ac:dyDescent="0.25">
      <c r="A137" s="1" t="s">
        <v>1349</v>
      </c>
      <c r="B137" s="1" t="s">
        <v>1348</v>
      </c>
      <c r="C137" s="1" t="s">
        <v>135</v>
      </c>
      <c r="D137" s="1" t="s">
        <v>1321</v>
      </c>
      <c r="E137" s="1">
        <v>71</v>
      </c>
      <c r="F1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137" s="1">
        <v>0</v>
      </c>
      <c r="H137" s="1">
        <v>0</v>
      </c>
      <c r="I137" s="1">
        <f>Tabela1[[#This Row],[Siblings and Spouses]]+Tabela1[[#This Row],[Parents and Children]]</f>
        <v>0</v>
      </c>
      <c r="J137" s="3">
        <v>34.654200000000003</v>
      </c>
      <c r="K1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37" s="2" t="s">
        <v>1318</v>
      </c>
    </row>
    <row r="138" spans="1:12" x14ac:dyDescent="0.25">
      <c r="A138" s="1" t="s">
        <v>1349</v>
      </c>
      <c r="B138" s="1" t="s">
        <v>1337</v>
      </c>
      <c r="C138" s="1" t="s">
        <v>136</v>
      </c>
      <c r="D138" s="1" t="s">
        <v>1321</v>
      </c>
      <c r="E138" s="1">
        <v>53</v>
      </c>
      <c r="F1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38" s="1">
        <v>0</v>
      </c>
      <c r="H138" s="1">
        <v>0</v>
      </c>
      <c r="I138" s="1">
        <f>Tabela1[[#This Row],[Siblings and Spouses]]+Tabela1[[#This Row],[Parents and Children]]</f>
        <v>0</v>
      </c>
      <c r="J138" s="3">
        <v>28.5</v>
      </c>
      <c r="K1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38" s="2" t="s">
        <v>1318</v>
      </c>
    </row>
    <row r="139" spans="1:12" x14ac:dyDescent="0.25">
      <c r="A139" s="1" t="s">
        <v>1349</v>
      </c>
      <c r="B139" s="1" t="s">
        <v>1337</v>
      </c>
      <c r="C139" s="1" t="s">
        <v>137</v>
      </c>
      <c r="D139" s="1" t="s">
        <v>1320</v>
      </c>
      <c r="E139" s="1">
        <v>19</v>
      </c>
      <c r="F1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9" s="1">
        <v>0</v>
      </c>
      <c r="H139" s="1">
        <v>0</v>
      </c>
      <c r="I139" s="1">
        <f>Tabela1[[#This Row],[Siblings and Spouses]]+Tabela1[[#This Row],[Parents and Children]]</f>
        <v>0</v>
      </c>
      <c r="J139" s="3">
        <v>30</v>
      </c>
      <c r="K1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39" s="2" t="s">
        <v>396</v>
      </c>
    </row>
    <row r="140" spans="1:12" x14ac:dyDescent="0.25">
      <c r="A140" s="1" t="s">
        <v>1349</v>
      </c>
      <c r="B140" s="1" t="s">
        <v>1348</v>
      </c>
      <c r="C140" s="1" t="s">
        <v>138</v>
      </c>
      <c r="D140" s="1" t="s">
        <v>1321</v>
      </c>
      <c r="E140" s="1">
        <v>38</v>
      </c>
      <c r="F1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40" s="1">
        <v>0</v>
      </c>
      <c r="H140" s="1">
        <v>1</v>
      </c>
      <c r="I140" s="1">
        <f>Tabela1[[#This Row],[Siblings and Spouses]]+Tabela1[[#This Row],[Parents and Children]]</f>
        <v>1</v>
      </c>
      <c r="J140" s="3">
        <v>153.46250000000001</v>
      </c>
      <c r="K1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140" s="2" t="s">
        <v>396</v>
      </c>
    </row>
    <row r="141" spans="1:12" x14ac:dyDescent="0.25">
      <c r="A141" s="1" t="s">
        <v>1349</v>
      </c>
      <c r="B141" s="1" t="s">
        <v>1337</v>
      </c>
      <c r="C141" s="1" t="s">
        <v>139</v>
      </c>
      <c r="D141" s="1" t="s">
        <v>1320</v>
      </c>
      <c r="E141" s="1">
        <v>58</v>
      </c>
      <c r="F1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41" s="1">
        <v>0</v>
      </c>
      <c r="H141" s="1">
        <v>1</v>
      </c>
      <c r="I141" s="1">
        <f>Tabela1[[#This Row],[Siblings and Spouses]]+Tabela1[[#This Row],[Parents and Children]]</f>
        <v>1</v>
      </c>
      <c r="J141" s="3">
        <v>153.46250000000001</v>
      </c>
      <c r="K1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141" s="2" t="s">
        <v>396</v>
      </c>
    </row>
    <row r="142" spans="1:12" x14ac:dyDescent="0.25">
      <c r="A142" s="1" t="s">
        <v>1349</v>
      </c>
      <c r="B142" s="1" t="s">
        <v>1337</v>
      </c>
      <c r="C142" s="1" t="s">
        <v>140</v>
      </c>
      <c r="D142" s="1" t="s">
        <v>1321</v>
      </c>
      <c r="E142" s="1">
        <v>23</v>
      </c>
      <c r="F1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42" s="1">
        <v>0</v>
      </c>
      <c r="H142" s="1">
        <v>1</v>
      </c>
      <c r="I142" s="1">
        <f>Tabela1[[#This Row],[Siblings and Spouses]]+Tabela1[[#This Row],[Parents and Children]]</f>
        <v>1</v>
      </c>
      <c r="J142" s="3">
        <v>63.3583</v>
      </c>
      <c r="K1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2" s="2" t="s">
        <v>1318</v>
      </c>
    </row>
    <row r="143" spans="1:12" x14ac:dyDescent="0.25">
      <c r="A143" s="1" t="s">
        <v>1349</v>
      </c>
      <c r="B143" s="1" t="s">
        <v>1337</v>
      </c>
      <c r="C143" s="1" t="s">
        <v>141</v>
      </c>
      <c r="D143" s="1" t="s">
        <v>1320</v>
      </c>
      <c r="E143" s="1">
        <v>45</v>
      </c>
      <c r="F1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43" s="1">
        <v>0</v>
      </c>
      <c r="H143" s="1">
        <v>1</v>
      </c>
      <c r="I143" s="1">
        <f>Tabela1[[#This Row],[Siblings and Spouses]]+Tabela1[[#This Row],[Parents and Children]]</f>
        <v>1</v>
      </c>
      <c r="J143" s="3">
        <v>63.3583</v>
      </c>
      <c r="K1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3" s="2" t="s">
        <v>1318</v>
      </c>
    </row>
    <row r="144" spans="1:12" x14ac:dyDescent="0.25">
      <c r="A144" s="1" t="s">
        <v>1349</v>
      </c>
      <c r="B144" s="1" t="s">
        <v>1348</v>
      </c>
      <c r="C144" s="1" t="s">
        <v>142</v>
      </c>
      <c r="D144" s="1" t="s">
        <v>1321</v>
      </c>
      <c r="E144" s="1">
        <v>46</v>
      </c>
      <c r="F1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44" s="1">
        <v>0</v>
      </c>
      <c r="H144" s="1">
        <v>0</v>
      </c>
      <c r="I144" s="1">
        <f>Tabela1[[#This Row],[Siblings and Spouses]]+Tabela1[[#This Row],[Parents and Children]]</f>
        <v>0</v>
      </c>
      <c r="J144" s="3">
        <v>79.2</v>
      </c>
      <c r="K1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4" s="2" t="s">
        <v>1318</v>
      </c>
    </row>
    <row r="145" spans="1:12" x14ac:dyDescent="0.25">
      <c r="A145" s="1" t="s">
        <v>1349</v>
      </c>
      <c r="B145" s="1" t="s">
        <v>1337</v>
      </c>
      <c r="C145" s="1" t="s">
        <v>143</v>
      </c>
      <c r="D145" s="1" t="s">
        <v>1321</v>
      </c>
      <c r="E145" s="1">
        <v>25</v>
      </c>
      <c r="F1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45" s="1">
        <v>1</v>
      </c>
      <c r="H145" s="1">
        <v>0</v>
      </c>
      <c r="I145" s="1">
        <f>Tabela1[[#This Row],[Siblings and Spouses]]+Tabela1[[#This Row],[Parents and Children]]</f>
        <v>1</v>
      </c>
      <c r="J145" s="3">
        <v>55.441699999999997</v>
      </c>
      <c r="K1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5" s="2" t="s">
        <v>1318</v>
      </c>
    </row>
    <row r="146" spans="1:12" x14ac:dyDescent="0.25">
      <c r="A146" s="1" t="s">
        <v>1349</v>
      </c>
      <c r="B146" s="1" t="s">
        <v>1337</v>
      </c>
      <c r="C146" s="1" t="s">
        <v>144</v>
      </c>
      <c r="D146" s="1" t="s">
        <v>1320</v>
      </c>
      <c r="E146" s="1">
        <v>25</v>
      </c>
      <c r="F1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46" s="1">
        <v>1</v>
      </c>
      <c r="H146" s="1">
        <v>0</v>
      </c>
      <c r="I146" s="1">
        <f>Tabela1[[#This Row],[Siblings and Spouses]]+Tabela1[[#This Row],[Parents and Children]]</f>
        <v>1</v>
      </c>
      <c r="J146" s="3">
        <v>55.441699999999997</v>
      </c>
      <c r="K1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6" s="2" t="s">
        <v>1318</v>
      </c>
    </row>
    <row r="147" spans="1:12" x14ac:dyDescent="0.25">
      <c r="A147" s="1" t="s">
        <v>1349</v>
      </c>
      <c r="B147" s="1" t="s">
        <v>1337</v>
      </c>
      <c r="C147" s="1" t="s">
        <v>145</v>
      </c>
      <c r="D147" s="1" t="s">
        <v>1321</v>
      </c>
      <c r="E147" s="1">
        <v>48</v>
      </c>
      <c r="F1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47" s="1">
        <v>1</v>
      </c>
      <c r="H147" s="1">
        <v>0</v>
      </c>
      <c r="I147" s="1">
        <f>Tabela1[[#This Row],[Siblings and Spouses]]+Tabela1[[#This Row],[Parents and Children]]</f>
        <v>1</v>
      </c>
      <c r="J147" s="3">
        <v>76.729200000000006</v>
      </c>
      <c r="K1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7" s="2" t="s">
        <v>1318</v>
      </c>
    </row>
    <row r="148" spans="1:12" x14ac:dyDescent="0.25">
      <c r="A148" s="1" t="s">
        <v>1349</v>
      </c>
      <c r="B148" s="1" t="s">
        <v>1337</v>
      </c>
      <c r="C148" s="1" t="s">
        <v>146</v>
      </c>
      <c r="D148" s="1" t="s">
        <v>1320</v>
      </c>
      <c r="E148" s="1">
        <v>49</v>
      </c>
      <c r="F1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48" s="1">
        <v>1</v>
      </c>
      <c r="H148" s="1">
        <v>0</v>
      </c>
      <c r="I148" s="1">
        <f>Tabela1[[#This Row],[Siblings and Spouses]]+Tabela1[[#This Row],[Parents and Children]]</f>
        <v>1</v>
      </c>
      <c r="J148" s="3">
        <v>76.729200000000006</v>
      </c>
      <c r="K1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48" s="2" t="s">
        <v>1318</v>
      </c>
    </row>
    <row r="149" spans="1:12" x14ac:dyDescent="0.25">
      <c r="A149" s="1" t="s">
        <v>1349</v>
      </c>
      <c r="B149" s="1" t="s">
        <v>1348</v>
      </c>
      <c r="C149" s="1" t="s">
        <v>147</v>
      </c>
      <c r="D149" s="1" t="s">
        <v>1321</v>
      </c>
      <c r="E149" s="1" t="s">
        <v>1323</v>
      </c>
      <c r="F1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49" s="1">
        <v>0</v>
      </c>
      <c r="H149" s="1">
        <v>0</v>
      </c>
      <c r="I149" s="1">
        <f>Tabela1[[#This Row],[Siblings and Spouses]]+Tabela1[[#This Row],[Parents and Children]]</f>
        <v>0</v>
      </c>
      <c r="J149" s="3">
        <v>42.4</v>
      </c>
      <c r="K1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49" s="2" t="s">
        <v>396</v>
      </c>
    </row>
    <row r="150" spans="1:12" x14ac:dyDescent="0.25">
      <c r="A150" s="1" t="s">
        <v>1349</v>
      </c>
      <c r="B150" s="1" t="s">
        <v>1348</v>
      </c>
      <c r="C150" s="1" t="s">
        <v>148</v>
      </c>
      <c r="D150" s="1" t="s">
        <v>1321</v>
      </c>
      <c r="E150" s="1">
        <v>45</v>
      </c>
      <c r="F1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50" s="1">
        <v>1</v>
      </c>
      <c r="H150" s="1">
        <v>0</v>
      </c>
      <c r="I150" s="1">
        <f>Tabela1[[#This Row],[Siblings and Spouses]]+Tabela1[[#This Row],[Parents and Children]]</f>
        <v>1</v>
      </c>
      <c r="J150" s="3">
        <v>83.474999999999994</v>
      </c>
      <c r="K1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0" s="2" t="s">
        <v>396</v>
      </c>
    </row>
    <row r="151" spans="1:12" x14ac:dyDescent="0.25">
      <c r="A151" s="1" t="s">
        <v>1349</v>
      </c>
      <c r="B151" s="1" t="s">
        <v>1337</v>
      </c>
      <c r="C151" s="1" t="s">
        <v>149</v>
      </c>
      <c r="D151" s="1" t="s">
        <v>1320</v>
      </c>
      <c r="E151" s="1">
        <v>35</v>
      </c>
      <c r="F1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51" s="1">
        <v>1</v>
      </c>
      <c r="H151" s="1">
        <v>0</v>
      </c>
      <c r="I151" s="1">
        <f>Tabela1[[#This Row],[Siblings and Spouses]]+Tabela1[[#This Row],[Parents and Children]]</f>
        <v>1</v>
      </c>
      <c r="J151" s="3">
        <v>83.474999999999994</v>
      </c>
      <c r="K1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1" s="2" t="s">
        <v>396</v>
      </c>
    </row>
    <row r="152" spans="1:12" x14ac:dyDescent="0.25">
      <c r="A152" s="1" t="s">
        <v>1349</v>
      </c>
      <c r="B152" s="1" t="s">
        <v>1348</v>
      </c>
      <c r="C152" s="1" t="s">
        <v>150</v>
      </c>
      <c r="D152" s="1" t="s">
        <v>1321</v>
      </c>
      <c r="E152" s="1">
        <v>40</v>
      </c>
      <c r="F1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52" s="1">
        <v>0</v>
      </c>
      <c r="H152" s="1">
        <v>0</v>
      </c>
      <c r="I152" s="1">
        <f>Tabela1[[#This Row],[Siblings and Spouses]]+Tabela1[[#This Row],[Parents and Children]]</f>
        <v>0</v>
      </c>
      <c r="J152" s="3">
        <v>0</v>
      </c>
      <c r="K1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52" s="2" t="s">
        <v>396</v>
      </c>
    </row>
    <row r="153" spans="1:12" x14ac:dyDescent="0.25">
      <c r="A153" s="1" t="s">
        <v>1349</v>
      </c>
      <c r="B153" s="1" t="s">
        <v>1337</v>
      </c>
      <c r="C153" s="1" t="s">
        <v>151</v>
      </c>
      <c r="D153" s="1" t="s">
        <v>1321</v>
      </c>
      <c r="E153" s="1">
        <v>27</v>
      </c>
      <c r="F1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53" s="1">
        <v>0</v>
      </c>
      <c r="H153" s="1">
        <v>0</v>
      </c>
      <c r="I153" s="1">
        <f>Tabela1[[#This Row],[Siblings and Spouses]]+Tabela1[[#This Row],[Parents and Children]]</f>
        <v>0</v>
      </c>
      <c r="J153" s="3">
        <v>76.729200000000006</v>
      </c>
      <c r="K1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3" s="2" t="s">
        <v>1318</v>
      </c>
    </row>
    <row r="154" spans="1:12" x14ac:dyDescent="0.25">
      <c r="A154" s="1" t="s">
        <v>1349</v>
      </c>
      <c r="B154" s="1" t="s">
        <v>1337</v>
      </c>
      <c r="C154" s="1" t="s">
        <v>152</v>
      </c>
      <c r="D154" s="1" t="s">
        <v>1321</v>
      </c>
      <c r="E154" s="1" t="s">
        <v>1323</v>
      </c>
      <c r="F1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54" s="1">
        <v>0</v>
      </c>
      <c r="H154" s="1">
        <v>0</v>
      </c>
      <c r="I154" s="1">
        <f>Tabela1[[#This Row],[Siblings and Spouses]]+Tabela1[[#This Row],[Parents and Children]]</f>
        <v>0</v>
      </c>
      <c r="J154" s="3">
        <v>30</v>
      </c>
      <c r="K1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54" s="2" t="s">
        <v>396</v>
      </c>
    </row>
    <row r="155" spans="1:12" x14ac:dyDescent="0.25">
      <c r="A155" s="1" t="s">
        <v>1349</v>
      </c>
      <c r="B155" s="1" t="s">
        <v>1337</v>
      </c>
      <c r="C155" s="1" t="s">
        <v>153</v>
      </c>
      <c r="D155" s="1" t="s">
        <v>1320</v>
      </c>
      <c r="E155" s="1">
        <v>24</v>
      </c>
      <c r="F1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55" s="1">
        <v>0</v>
      </c>
      <c r="H155" s="1">
        <v>0</v>
      </c>
      <c r="I155" s="1">
        <f>Tabela1[[#This Row],[Siblings and Spouses]]+Tabela1[[#This Row],[Parents and Children]]</f>
        <v>0</v>
      </c>
      <c r="J155" s="3">
        <v>83.158299999999997</v>
      </c>
      <c r="K1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5" s="2" t="s">
        <v>1318</v>
      </c>
    </row>
    <row r="156" spans="1:12" x14ac:dyDescent="0.25">
      <c r="A156" s="1" t="s">
        <v>1349</v>
      </c>
      <c r="B156" s="1" t="s">
        <v>1348</v>
      </c>
      <c r="C156" s="1" t="s">
        <v>154</v>
      </c>
      <c r="D156" s="1" t="s">
        <v>1321</v>
      </c>
      <c r="E156" s="1">
        <v>55</v>
      </c>
      <c r="F1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56" s="1">
        <v>1</v>
      </c>
      <c r="H156" s="1">
        <v>1</v>
      </c>
      <c r="I156" s="1">
        <f>Tabela1[[#This Row],[Siblings and Spouses]]+Tabela1[[#This Row],[Parents and Children]]</f>
        <v>2</v>
      </c>
      <c r="J156" s="3">
        <v>93.5</v>
      </c>
      <c r="K1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6" s="2" t="s">
        <v>396</v>
      </c>
    </row>
    <row r="157" spans="1:12" x14ac:dyDescent="0.25">
      <c r="A157" s="1" t="s">
        <v>1349</v>
      </c>
      <c r="B157" s="1" t="s">
        <v>1337</v>
      </c>
      <c r="C157" s="1" t="s">
        <v>155</v>
      </c>
      <c r="D157" s="1" t="s">
        <v>1320</v>
      </c>
      <c r="E157" s="1">
        <v>52</v>
      </c>
      <c r="F1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57" s="1">
        <v>1</v>
      </c>
      <c r="H157" s="1">
        <v>1</v>
      </c>
      <c r="I157" s="1">
        <f>Tabela1[[#This Row],[Siblings and Spouses]]+Tabela1[[#This Row],[Parents and Children]]</f>
        <v>2</v>
      </c>
      <c r="J157" s="3">
        <v>93.5</v>
      </c>
      <c r="K1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7" s="2" t="s">
        <v>396</v>
      </c>
    </row>
    <row r="158" spans="1:12" x14ac:dyDescent="0.25">
      <c r="A158" s="1" t="s">
        <v>1349</v>
      </c>
      <c r="B158" s="1" t="s">
        <v>1348</v>
      </c>
      <c r="C158" s="1" t="s">
        <v>156</v>
      </c>
      <c r="D158" s="1" t="s">
        <v>1321</v>
      </c>
      <c r="E158" s="1">
        <v>42</v>
      </c>
      <c r="F1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58" s="1">
        <v>0</v>
      </c>
      <c r="H158" s="1">
        <v>0</v>
      </c>
      <c r="I158" s="1">
        <f>Tabela1[[#This Row],[Siblings and Spouses]]+Tabela1[[#This Row],[Parents and Children]]</f>
        <v>0</v>
      </c>
      <c r="J158" s="3">
        <v>42.5</v>
      </c>
      <c r="K1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58" s="2" t="s">
        <v>396</v>
      </c>
    </row>
    <row r="159" spans="1:12" x14ac:dyDescent="0.25">
      <c r="A159" s="1" t="s">
        <v>1349</v>
      </c>
      <c r="B159" s="1" t="s">
        <v>1348</v>
      </c>
      <c r="C159" s="1" t="s">
        <v>157</v>
      </c>
      <c r="D159" s="1" t="s">
        <v>1321</v>
      </c>
      <c r="E159" s="1" t="s">
        <v>1323</v>
      </c>
      <c r="F1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59" s="1">
        <v>0</v>
      </c>
      <c r="H159" s="1">
        <v>0</v>
      </c>
      <c r="I159" s="1">
        <f>Tabela1[[#This Row],[Siblings and Spouses]]+Tabela1[[#This Row],[Parents and Children]]</f>
        <v>0</v>
      </c>
      <c r="J159" s="3">
        <v>51.862499999999997</v>
      </c>
      <c r="K1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59" s="2" t="s">
        <v>396</v>
      </c>
    </row>
    <row r="160" spans="1:12" x14ac:dyDescent="0.25">
      <c r="A160" s="1" t="s">
        <v>1349</v>
      </c>
      <c r="B160" s="1" t="s">
        <v>1348</v>
      </c>
      <c r="C160" s="1" t="s">
        <v>158</v>
      </c>
      <c r="D160" s="1" t="s">
        <v>1321</v>
      </c>
      <c r="E160" s="1">
        <v>55</v>
      </c>
      <c r="F1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60" s="1">
        <v>0</v>
      </c>
      <c r="H160" s="1">
        <v>0</v>
      </c>
      <c r="I160" s="1">
        <f>Tabela1[[#This Row],[Siblings and Spouses]]+Tabela1[[#This Row],[Parents and Children]]</f>
        <v>0</v>
      </c>
      <c r="J160" s="3">
        <v>50</v>
      </c>
      <c r="K1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60" s="2" t="s">
        <v>396</v>
      </c>
    </row>
    <row r="161" spans="1:12" x14ac:dyDescent="0.25">
      <c r="A161" s="1" t="s">
        <v>1349</v>
      </c>
      <c r="B161" s="1" t="s">
        <v>1337</v>
      </c>
      <c r="C161" s="1" t="s">
        <v>159</v>
      </c>
      <c r="D161" s="1" t="s">
        <v>1320</v>
      </c>
      <c r="E161" s="1">
        <v>16</v>
      </c>
      <c r="F1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61" s="1">
        <v>0</v>
      </c>
      <c r="H161" s="1">
        <v>1</v>
      </c>
      <c r="I161" s="1">
        <f>Tabela1[[#This Row],[Siblings and Spouses]]+Tabela1[[#This Row],[Parents and Children]]</f>
        <v>1</v>
      </c>
      <c r="J161" s="3">
        <v>57.979199999999999</v>
      </c>
      <c r="K1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1" s="2" t="s">
        <v>1318</v>
      </c>
    </row>
    <row r="162" spans="1:12" x14ac:dyDescent="0.25">
      <c r="A162" s="1" t="s">
        <v>1349</v>
      </c>
      <c r="B162" s="1" t="s">
        <v>1337</v>
      </c>
      <c r="C162" s="1" t="s">
        <v>160</v>
      </c>
      <c r="D162" s="1" t="s">
        <v>1320</v>
      </c>
      <c r="E162" s="1">
        <v>44</v>
      </c>
      <c r="F1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62" s="1">
        <v>0</v>
      </c>
      <c r="H162" s="1">
        <v>1</v>
      </c>
      <c r="I162" s="1">
        <f>Tabela1[[#This Row],[Siblings and Spouses]]+Tabela1[[#This Row],[Parents and Children]]</f>
        <v>1</v>
      </c>
      <c r="J162" s="3">
        <v>57.979199999999999</v>
      </c>
      <c r="K1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2" s="2" t="s">
        <v>1318</v>
      </c>
    </row>
    <row r="163" spans="1:12" x14ac:dyDescent="0.25">
      <c r="A163" s="1" t="s">
        <v>1349</v>
      </c>
      <c r="B163" s="1" t="s">
        <v>1337</v>
      </c>
      <c r="C163" s="1" t="s">
        <v>161</v>
      </c>
      <c r="D163" s="1" t="s">
        <v>1320</v>
      </c>
      <c r="E163" s="1">
        <v>51</v>
      </c>
      <c r="F1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63" s="1">
        <v>1</v>
      </c>
      <c r="H163" s="1">
        <v>0</v>
      </c>
      <c r="I163" s="1">
        <f>Tabela1[[#This Row],[Siblings and Spouses]]+Tabela1[[#This Row],[Parents and Children]]</f>
        <v>1</v>
      </c>
      <c r="J163" s="3">
        <v>77.958299999999994</v>
      </c>
      <c r="K1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3" s="2" t="s">
        <v>396</v>
      </c>
    </row>
    <row r="164" spans="1:12" x14ac:dyDescent="0.25">
      <c r="A164" s="1" t="s">
        <v>1349</v>
      </c>
      <c r="B164" s="1" t="s">
        <v>1348</v>
      </c>
      <c r="C164" s="1" t="s">
        <v>162</v>
      </c>
      <c r="D164" s="1" t="s">
        <v>1321</v>
      </c>
      <c r="E164" s="1">
        <v>42</v>
      </c>
      <c r="F1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64" s="1">
        <v>1</v>
      </c>
      <c r="H164" s="1">
        <v>0</v>
      </c>
      <c r="I164" s="1">
        <f>Tabela1[[#This Row],[Siblings and Spouses]]+Tabela1[[#This Row],[Parents and Children]]</f>
        <v>1</v>
      </c>
      <c r="J164" s="3">
        <v>52</v>
      </c>
      <c r="K1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4" s="2" t="s">
        <v>396</v>
      </c>
    </row>
    <row r="165" spans="1:12" x14ac:dyDescent="0.25">
      <c r="A165" s="1" t="s">
        <v>1349</v>
      </c>
      <c r="B165" s="1" t="s">
        <v>1337</v>
      </c>
      <c r="C165" s="1" t="s">
        <v>163</v>
      </c>
      <c r="D165" s="1" t="s">
        <v>1320</v>
      </c>
      <c r="E165" s="1">
        <v>35</v>
      </c>
      <c r="F1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65" s="1">
        <v>1</v>
      </c>
      <c r="H165" s="1">
        <v>0</v>
      </c>
      <c r="I165" s="1">
        <f>Tabela1[[#This Row],[Siblings and Spouses]]+Tabela1[[#This Row],[Parents and Children]]</f>
        <v>1</v>
      </c>
      <c r="J165" s="3">
        <v>52</v>
      </c>
      <c r="K1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5" s="2" t="s">
        <v>396</v>
      </c>
    </row>
    <row r="166" spans="1:12" x14ac:dyDescent="0.25">
      <c r="A166" s="1" t="s">
        <v>1349</v>
      </c>
      <c r="B166" s="1" t="s">
        <v>1337</v>
      </c>
      <c r="C166" s="1" t="s">
        <v>164</v>
      </c>
      <c r="D166" s="1" t="s">
        <v>1321</v>
      </c>
      <c r="E166" s="1">
        <v>35</v>
      </c>
      <c r="F1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66" s="1">
        <v>0</v>
      </c>
      <c r="H166" s="1">
        <v>0</v>
      </c>
      <c r="I166" s="1">
        <f>Tabela1[[#This Row],[Siblings and Spouses]]+Tabela1[[#This Row],[Parents and Children]]</f>
        <v>0</v>
      </c>
      <c r="J166" s="3">
        <v>26.55</v>
      </c>
      <c r="K1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66" s="2" t="s">
        <v>1318</v>
      </c>
    </row>
    <row r="167" spans="1:12" x14ac:dyDescent="0.25">
      <c r="A167" s="1" t="s">
        <v>1349</v>
      </c>
      <c r="B167" s="1" t="s">
        <v>1337</v>
      </c>
      <c r="C167" s="1" t="s">
        <v>165</v>
      </c>
      <c r="D167" s="1" t="s">
        <v>1321</v>
      </c>
      <c r="E167" s="1">
        <v>38</v>
      </c>
      <c r="F1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67" s="1">
        <v>1</v>
      </c>
      <c r="H167" s="1">
        <v>0</v>
      </c>
      <c r="I167" s="1">
        <f>Tabela1[[#This Row],[Siblings and Spouses]]+Tabela1[[#This Row],[Parents and Children]]</f>
        <v>1</v>
      </c>
      <c r="J167" s="3">
        <v>90</v>
      </c>
      <c r="K1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7" s="2" t="s">
        <v>396</v>
      </c>
    </row>
    <row r="168" spans="1:12" x14ac:dyDescent="0.25">
      <c r="A168" s="1" t="s">
        <v>1349</v>
      </c>
      <c r="B168" s="1" t="s">
        <v>1348</v>
      </c>
      <c r="C168" s="1" t="s">
        <v>166</v>
      </c>
      <c r="D168" s="1" t="s">
        <v>1321</v>
      </c>
      <c r="E168" s="1" t="s">
        <v>1323</v>
      </c>
      <c r="F1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68" s="1">
        <v>0</v>
      </c>
      <c r="H168" s="1">
        <v>0</v>
      </c>
      <c r="I168" s="1">
        <f>Tabela1[[#This Row],[Siblings and Spouses]]+Tabela1[[#This Row],[Parents and Children]]</f>
        <v>0</v>
      </c>
      <c r="J168" s="3">
        <v>30.695799999999998</v>
      </c>
      <c r="K1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68" s="2" t="s">
        <v>1318</v>
      </c>
    </row>
    <row r="169" spans="1:12" x14ac:dyDescent="0.25">
      <c r="A169" s="1" t="s">
        <v>1349</v>
      </c>
      <c r="B169" s="1" t="s">
        <v>1337</v>
      </c>
      <c r="C169" s="1" t="s">
        <v>167</v>
      </c>
      <c r="D169" s="1" t="s">
        <v>1320</v>
      </c>
      <c r="E169" s="1">
        <v>35</v>
      </c>
      <c r="F1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69" s="1">
        <v>1</v>
      </c>
      <c r="H169" s="1">
        <v>0</v>
      </c>
      <c r="I169" s="1">
        <f>Tabela1[[#This Row],[Siblings and Spouses]]+Tabela1[[#This Row],[Parents and Children]]</f>
        <v>1</v>
      </c>
      <c r="J169" s="3">
        <v>90</v>
      </c>
      <c r="K1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69" s="2" t="s">
        <v>396</v>
      </c>
    </row>
    <row r="170" spans="1:12" x14ac:dyDescent="0.25">
      <c r="A170" s="1" t="s">
        <v>1349</v>
      </c>
      <c r="B170" s="1" t="s">
        <v>1337</v>
      </c>
      <c r="C170" s="1" t="s">
        <v>168</v>
      </c>
      <c r="D170" s="1" t="s">
        <v>1320</v>
      </c>
      <c r="E170" s="1">
        <v>38</v>
      </c>
      <c r="F1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70" s="1">
        <v>0</v>
      </c>
      <c r="H170" s="1">
        <v>0</v>
      </c>
      <c r="I170" s="1">
        <f>Tabela1[[#This Row],[Siblings and Spouses]]+Tabela1[[#This Row],[Parents and Children]]</f>
        <v>0</v>
      </c>
      <c r="J170" s="3">
        <v>80</v>
      </c>
      <c r="K1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70" s="2" t="s">
        <v>1323</v>
      </c>
    </row>
    <row r="171" spans="1:12" x14ac:dyDescent="0.25">
      <c r="A171" s="1" t="s">
        <v>1349</v>
      </c>
      <c r="B171" s="1" t="s">
        <v>1348</v>
      </c>
      <c r="C171" s="1" t="s">
        <v>169</v>
      </c>
      <c r="D171" s="1" t="s">
        <v>1320</v>
      </c>
      <c r="E171" s="1">
        <v>50</v>
      </c>
      <c r="F1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71" s="1">
        <v>0</v>
      </c>
      <c r="H171" s="1">
        <v>0</v>
      </c>
      <c r="I171" s="1">
        <f>Tabela1[[#This Row],[Siblings and Spouses]]+Tabela1[[#This Row],[Parents and Children]]</f>
        <v>0</v>
      </c>
      <c r="J171" s="3">
        <v>28.712499999999999</v>
      </c>
      <c r="K1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71" s="2" t="s">
        <v>1318</v>
      </c>
    </row>
    <row r="172" spans="1:12" x14ac:dyDescent="0.25">
      <c r="A172" s="1" t="s">
        <v>1349</v>
      </c>
      <c r="B172" s="1" t="s">
        <v>1337</v>
      </c>
      <c r="C172" s="1" t="s">
        <v>170</v>
      </c>
      <c r="D172" s="1" t="s">
        <v>1321</v>
      </c>
      <c r="E172" s="1">
        <v>49</v>
      </c>
      <c r="F1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72" s="1">
        <v>0</v>
      </c>
      <c r="H172" s="1">
        <v>0</v>
      </c>
      <c r="I172" s="1">
        <f>Tabela1[[#This Row],[Siblings and Spouses]]+Tabela1[[#This Row],[Parents and Children]]</f>
        <v>0</v>
      </c>
      <c r="J172" s="3">
        <v>0</v>
      </c>
      <c r="K1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72" s="2" t="s">
        <v>396</v>
      </c>
    </row>
    <row r="173" spans="1:12" x14ac:dyDescent="0.25">
      <c r="A173" s="1" t="s">
        <v>1349</v>
      </c>
      <c r="B173" s="1" t="s">
        <v>1348</v>
      </c>
      <c r="C173" s="1" t="s">
        <v>171</v>
      </c>
      <c r="D173" s="1" t="s">
        <v>1321</v>
      </c>
      <c r="E173" s="1">
        <v>46</v>
      </c>
      <c r="F1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73" s="1">
        <v>0</v>
      </c>
      <c r="H173" s="1">
        <v>0</v>
      </c>
      <c r="I173" s="1">
        <f>Tabela1[[#This Row],[Siblings and Spouses]]+Tabela1[[#This Row],[Parents and Children]]</f>
        <v>0</v>
      </c>
      <c r="J173" s="3">
        <v>26</v>
      </c>
      <c r="K1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73" s="2" t="s">
        <v>396</v>
      </c>
    </row>
    <row r="174" spans="1:12" x14ac:dyDescent="0.25">
      <c r="A174" s="1" t="s">
        <v>1349</v>
      </c>
      <c r="B174" s="1" t="s">
        <v>1348</v>
      </c>
      <c r="C174" s="1" t="s">
        <v>172</v>
      </c>
      <c r="D174" s="1" t="s">
        <v>1321</v>
      </c>
      <c r="E174" s="1">
        <v>50</v>
      </c>
      <c r="F1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74" s="1">
        <v>0</v>
      </c>
      <c r="H174" s="1">
        <v>0</v>
      </c>
      <c r="I174" s="1">
        <f>Tabela1[[#This Row],[Siblings and Spouses]]+Tabela1[[#This Row],[Parents and Children]]</f>
        <v>0</v>
      </c>
      <c r="J174" s="3">
        <v>26</v>
      </c>
      <c r="K1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74" s="2" t="s">
        <v>396</v>
      </c>
    </row>
    <row r="175" spans="1:12" x14ac:dyDescent="0.25">
      <c r="A175" s="1" t="s">
        <v>1349</v>
      </c>
      <c r="B175" s="1" t="s">
        <v>1348</v>
      </c>
      <c r="C175" s="1" t="s">
        <v>173</v>
      </c>
      <c r="D175" s="1" t="s">
        <v>1321</v>
      </c>
      <c r="E175" s="1">
        <v>32.5</v>
      </c>
      <c r="F1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75" s="1">
        <v>0</v>
      </c>
      <c r="H175" s="1">
        <v>0</v>
      </c>
      <c r="I175" s="1">
        <f>Tabela1[[#This Row],[Siblings and Spouses]]+Tabela1[[#This Row],[Parents and Children]]</f>
        <v>0</v>
      </c>
      <c r="J175" s="3">
        <v>211.5</v>
      </c>
      <c r="K1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75" s="2" t="s">
        <v>1318</v>
      </c>
    </row>
    <row r="176" spans="1:12" x14ac:dyDescent="0.25">
      <c r="A176" s="1" t="s">
        <v>1349</v>
      </c>
      <c r="B176" s="1" t="s">
        <v>1348</v>
      </c>
      <c r="C176" s="1" t="s">
        <v>174</v>
      </c>
      <c r="D176" s="1" t="s">
        <v>1321</v>
      </c>
      <c r="E176" s="1">
        <v>58</v>
      </c>
      <c r="F1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76" s="1">
        <v>0</v>
      </c>
      <c r="H176" s="1">
        <v>0</v>
      </c>
      <c r="I176" s="1">
        <f>Tabela1[[#This Row],[Siblings and Spouses]]+Tabela1[[#This Row],[Parents and Children]]</f>
        <v>0</v>
      </c>
      <c r="J176" s="3">
        <v>29.7</v>
      </c>
      <c r="K1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76" s="2" t="s">
        <v>1318</v>
      </c>
    </row>
    <row r="177" spans="1:12" x14ac:dyDescent="0.25">
      <c r="A177" s="1" t="s">
        <v>1349</v>
      </c>
      <c r="B177" s="1" t="s">
        <v>1348</v>
      </c>
      <c r="C177" s="1" t="s">
        <v>175</v>
      </c>
      <c r="D177" s="1" t="s">
        <v>1321</v>
      </c>
      <c r="E177" s="1">
        <v>41</v>
      </c>
      <c r="F1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77" s="1">
        <v>1</v>
      </c>
      <c r="H177" s="1">
        <v>0</v>
      </c>
      <c r="I177" s="1">
        <f>Tabela1[[#This Row],[Siblings and Spouses]]+Tabela1[[#This Row],[Parents and Children]]</f>
        <v>1</v>
      </c>
      <c r="J177" s="3">
        <v>51.862499999999997</v>
      </c>
      <c r="K1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77" s="2" t="s">
        <v>396</v>
      </c>
    </row>
    <row r="178" spans="1:12" x14ac:dyDescent="0.25">
      <c r="A178" s="1" t="s">
        <v>1349</v>
      </c>
      <c r="B178" s="1" t="s">
        <v>1337</v>
      </c>
      <c r="C178" s="1" t="s">
        <v>176</v>
      </c>
      <c r="D178" s="1" t="s">
        <v>1320</v>
      </c>
      <c r="E178" s="1" t="s">
        <v>1323</v>
      </c>
      <c r="F1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78" s="1">
        <v>1</v>
      </c>
      <c r="H178" s="1">
        <v>0</v>
      </c>
      <c r="I178" s="1">
        <f>Tabela1[[#This Row],[Siblings and Spouses]]+Tabela1[[#This Row],[Parents and Children]]</f>
        <v>1</v>
      </c>
      <c r="J178" s="3">
        <v>51.862499999999997</v>
      </c>
      <c r="K1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78" s="2" t="s">
        <v>396</v>
      </c>
    </row>
    <row r="179" spans="1:12" x14ac:dyDescent="0.25">
      <c r="A179" s="1" t="s">
        <v>1349</v>
      </c>
      <c r="B179" s="1" t="s">
        <v>1337</v>
      </c>
      <c r="C179" s="1" t="s">
        <v>177</v>
      </c>
      <c r="D179" s="1" t="s">
        <v>1321</v>
      </c>
      <c r="E179" s="1">
        <v>42</v>
      </c>
      <c r="F1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79" s="1">
        <v>1</v>
      </c>
      <c r="H179" s="1">
        <v>0</v>
      </c>
      <c r="I179" s="1">
        <f>Tabela1[[#This Row],[Siblings and Spouses]]+Tabela1[[#This Row],[Parents and Children]]</f>
        <v>1</v>
      </c>
      <c r="J179" s="3">
        <v>52.554200000000002</v>
      </c>
      <c r="K1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79" s="2" t="s">
        <v>396</v>
      </c>
    </row>
    <row r="180" spans="1:12" x14ac:dyDescent="0.25">
      <c r="A180" s="1" t="s">
        <v>1349</v>
      </c>
      <c r="B180" s="1" t="s">
        <v>1337</v>
      </c>
      <c r="C180" s="1" t="s">
        <v>178</v>
      </c>
      <c r="D180" s="1" t="s">
        <v>1320</v>
      </c>
      <c r="E180" s="1">
        <v>45</v>
      </c>
      <c r="F1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80" s="1">
        <v>1</v>
      </c>
      <c r="H180" s="1">
        <v>0</v>
      </c>
      <c r="I180" s="1">
        <f>Tabela1[[#This Row],[Siblings and Spouses]]+Tabela1[[#This Row],[Parents and Children]]</f>
        <v>1</v>
      </c>
      <c r="J180" s="3">
        <v>52.554200000000002</v>
      </c>
      <c r="K1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80" s="2" t="s">
        <v>396</v>
      </c>
    </row>
    <row r="181" spans="1:12" x14ac:dyDescent="0.25">
      <c r="A181" s="1" t="s">
        <v>1349</v>
      </c>
      <c r="B181" s="1" t="s">
        <v>1348</v>
      </c>
      <c r="C181" s="1" t="s">
        <v>179</v>
      </c>
      <c r="D181" s="1" t="s">
        <v>1321</v>
      </c>
      <c r="E181" s="1" t="s">
        <v>1323</v>
      </c>
      <c r="F1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81" s="1">
        <v>0</v>
      </c>
      <c r="H181" s="1">
        <v>0</v>
      </c>
      <c r="I181" s="1">
        <f>Tabela1[[#This Row],[Siblings and Spouses]]+Tabela1[[#This Row],[Parents and Children]]</f>
        <v>0</v>
      </c>
      <c r="J181" s="3">
        <v>26.55</v>
      </c>
      <c r="K1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81" s="2" t="s">
        <v>396</v>
      </c>
    </row>
    <row r="182" spans="1:12" x14ac:dyDescent="0.25">
      <c r="A182" s="1" t="s">
        <v>1349</v>
      </c>
      <c r="B182" s="1" t="s">
        <v>1337</v>
      </c>
      <c r="C182" s="1" t="s">
        <v>180</v>
      </c>
      <c r="D182" s="1" t="s">
        <v>1320</v>
      </c>
      <c r="E182" s="1">
        <v>39</v>
      </c>
      <c r="F1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82" s="1">
        <v>0</v>
      </c>
      <c r="H182" s="1">
        <v>0</v>
      </c>
      <c r="I182" s="1">
        <f>Tabela1[[#This Row],[Siblings and Spouses]]+Tabela1[[#This Row],[Parents and Children]]</f>
        <v>0</v>
      </c>
      <c r="J182" s="3">
        <v>211.33750000000001</v>
      </c>
      <c r="K1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82" s="2" t="s">
        <v>396</v>
      </c>
    </row>
    <row r="183" spans="1:12" x14ac:dyDescent="0.25">
      <c r="A183" s="1" t="s">
        <v>1349</v>
      </c>
      <c r="B183" s="1" t="s">
        <v>1337</v>
      </c>
      <c r="C183" s="1" t="s">
        <v>181</v>
      </c>
      <c r="D183" s="1" t="s">
        <v>1320</v>
      </c>
      <c r="E183" s="1">
        <v>49</v>
      </c>
      <c r="F1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83" s="1">
        <v>0</v>
      </c>
      <c r="H183" s="1">
        <v>0</v>
      </c>
      <c r="I183" s="1">
        <f>Tabela1[[#This Row],[Siblings and Spouses]]+Tabela1[[#This Row],[Parents and Children]]</f>
        <v>0</v>
      </c>
      <c r="J183" s="3">
        <v>25.929200000000002</v>
      </c>
      <c r="K1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83" s="2" t="s">
        <v>396</v>
      </c>
    </row>
    <row r="184" spans="1:12" x14ac:dyDescent="0.25">
      <c r="A184" s="1" t="s">
        <v>1349</v>
      </c>
      <c r="B184" s="1" t="s">
        <v>1337</v>
      </c>
      <c r="C184" s="1" t="s">
        <v>182</v>
      </c>
      <c r="D184" s="1" t="s">
        <v>1320</v>
      </c>
      <c r="E184" s="1">
        <v>30</v>
      </c>
      <c r="F1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84" s="1">
        <v>0</v>
      </c>
      <c r="H184" s="1">
        <v>0</v>
      </c>
      <c r="I184" s="1">
        <f>Tabela1[[#This Row],[Siblings and Spouses]]+Tabela1[[#This Row],[Parents and Children]]</f>
        <v>0</v>
      </c>
      <c r="J184" s="3">
        <v>106.425</v>
      </c>
      <c r="K1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184" s="2" t="s">
        <v>1318</v>
      </c>
    </row>
    <row r="185" spans="1:12" x14ac:dyDescent="0.25">
      <c r="A185" s="1" t="s">
        <v>1349</v>
      </c>
      <c r="B185" s="1" t="s">
        <v>1337</v>
      </c>
      <c r="C185" s="1" t="s">
        <v>183</v>
      </c>
      <c r="D185" s="1" t="s">
        <v>1321</v>
      </c>
      <c r="E185" s="1">
        <v>35</v>
      </c>
      <c r="F1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85" s="1">
        <v>0</v>
      </c>
      <c r="H185" s="1">
        <v>0</v>
      </c>
      <c r="I185" s="1">
        <f>Tabela1[[#This Row],[Siblings and Spouses]]+Tabela1[[#This Row],[Parents and Children]]</f>
        <v>0</v>
      </c>
      <c r="J185" s="3">
        <v>512.32920000000001</v>
      </c>
      <c r="K1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85" s="2" t="s">
        <v>1318</v>
      </c>
    </row>
    <row r="186" spans="1:12" x14ac:dyDescent="0.25">
      <c r="A186" s="1" t="s">
        <v>1349</v>
      </c>
      <c r="B186" s="1" t="s">
        <v>1348</v>
      </c>
      <c r="C186" s="1" t="s">
        <v>184</v>
      </c>
      <c r="D186" s="1" t="s">
        <v>1321</v>
      </c>
      <c r="E186" s="1" t="s">
        <v>1323</v>
      </c>
      <c r="F1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86" s="1">
        <v>0</v>
      </c>
      <c r="H186" s="1">
        <v>0</v>
      </c>
      <c r="I186" s="1">
        <f>Tabela1[[#This Row],[Siblings and Spouses]]+Tabela1[[#This Row],[Parents and Children]]</f>
        <v>0</v>
      </c>
      <c r="J186" s="3">
        <v>27.720800000000001</v>
      </c>
      <c r="K1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86" s="2" t="s">
        <v>1318</v>
      </c>
    </row>
    <row r="187" spans="1:12" x14ac:dyDescent="0.25">
      <c r="A187" s="1" t="s">
        <v>1349</v>
      </c>
      <c r="B187" s="1" t="s">
        <v>1348</v>
      </c>
      <c r="C187" s="1" t="s">
        <v>185</v>
      </c>
      <c r="D187" s="1" t="s">
        <v>1321</v>
      </c>
      <c r="E187" s="1">
        <v>42</v>
      </c>
      <c r="F1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87" s="1">
        <v>0</v>
      </c>
      <c r="H187" s="1">
        <v>0</v>
      </c>
      <c r="I187" s="1">
        <f>Tabela1[[#This Row],[Siblings and Spouses]]+Tabela1[[#This Row],[Parents and Children]]</f>
        <v>0</v>
      </c>
      <c r="J187" s="3">
        <v>26.55</v>
      </c>
      <c r="K1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87" s="2" t="s">
        <v>396</v>
      </c>
    </row>
    <row r="188" spans="1:12" x14ac:dyDescent="0.25">
      <c r="A188" s="1" t="s">
        <v>1349</v>
      </c>
      <c r="B188" s="1" t="s">
        <v>1337</v>
      </c>
      <c r="C188" s="1" t="s">
        <v>186</v>
      </c>
      <c r="D188" s="1" t="s">
        <v>1320</v>
      </c>
      <c r="E188" s="1">
        <v>55</v>
      </c>
      <c r="F1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88" s="1">
        <v>0</v>
      </c>
      <c r="H188" s="1">
        <v>0</v>
      </c>
      <c r="I188" s="1">
        <f>Tabela1[[#This Row],[Siblings and Spouses]]+Tabela1[[#This Row],[Parents and Children]]</f>
        <v>0</v>
      </c>
      <c r="J188" s="3">
        <v>27.720800000000001</v>
      </c>
      <c r="K1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88" s="2" t="s">
        <v>1318</v>
      </c>
    </row>
    <row r="189" spans="1:12" x14ac:dyDescent="0.25">
      <c r="A189" s="1" t="s">
        <v>1349</v>
      </c>
      <c r="B189" s="1" t="s">
        <v>1337</v>
      </c>
      <c r="C189" s="1" t="s">
        <v>187</v>
      </c>
      <c r="D189" s="1" t="s">
        <v>1320</v>
      </c>
      <c r="E189" s="1">
        <v>16</v>
      </c>
      <c r="F1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89" s="1">
        <v>0</v>
      </c>
      <c r="H189" s="1">
        <v>1</v>
      </c>
      <c r="I189" s="1">
        <f>Tabela1[[#This Row],[Siblings and Spouses]]+Tabela1[[#This Row],[Parents and Children]]</f>
        <v>1</v>
      </c>
      <c r="J189" s="3">
        <v>39.4</v>
      </c>
      <c r="K1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89" s="2" t="s">
        <v>396</v>
      </c>
    </row>
    <row r="190" spans="1:12" x14ac:dyDescent="0.25">
      <c r="A190" s="1" t="s">
        <v>1349</v>
      </c>
      <c r="B190" s="1" t="s">
        <v>1337</v>
      </c>
      <c r="C190" s="1" t="s">
        <v>188</v>
      </c>
      <c r="D190" s="1" t="s">
        <v>1320</v>
      </c>
      <c r="E190" s="1">
        <v>51</v>
      </c>
      <c r="F1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90" s="1">
        <v>0</v>
      </c>
      <c r="H190" s="1">
        <v>1</v>
      </c>
      <c r="I190" s="1">
        <f>Tabela1[[#This Row],[Siblings and Spouses]]+Tabela1[[#This Row],[Parents and Children]]</f>
        <v>1</v>
      </c>
      <c r="J190" s="3">
        <v>39.4</v>
      </c>
      <c r="K1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90" s="2" t="s">
        <v>396</v>
      </c>
    </row>
    <row r="191" spans="1:12" x14ac:dyDescent="0.25">
      <c r="A191" s="1" t="s">
        <v>1349</v>
      </c>
      <c r="B191" s="1" t="s">
        <v>1348</v>
      </c>
      <c r="C191" s="1" t="s">
        <v>189</v>
      </c>
      <c r="D191" s="1" t="s">
        <v>1321</v>
      </c>
      <c r="E191" s="1">
        <v>29</v>
      </c>
      <c r="F1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91" s="1">
        <v>0</v>
      </c>
      <c r="H191" s="1">
        <v>0</v>
      </c>
      <c r="I191" s="1">
        <f>Tabela1[[#This Row],[Siblings and Spouses]]+Tabela1[[#This Row],[Parents and Children]]</f>
        <v>0</v>
      </c>
      <c r="J191" s="3">
        <v>30</v>
      </c>
      <c r="K1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91" s="2" t="s">
        <v>396</v>
      </c>
    </row>
    <row r="192" spans="1:12" x14ac:dyDescent="0.25">
      <c r="A192" s="1" t="s">
        <v>1349</v>
      </c>
      <c r="B192" s="1" t="s">
        <v>1337</v>
      </c>
      <c r="C192" s="1" t="s">
        <v>190</v>
      </c>
      <c r="D192" s="1" t="s">
        <v>1320</v>
      </c>
      <c r="E192" s="1">
        <v>21</v>
      </c>
      <c r="F1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92" s="1">
        <v>0</v>
      </c>
      <c r="H192" s="1">
        <v>0</v>
      </c>
      <c r="I192" s="1">
        <f>Tabela1[[#This Row],[Siblings and Spouses]]+Tabela1[[#This Row],[Parents and Children]]</f>
        <v>0</v>
      </c>
      <c r="J192" s="3">
        <v>77.958299999999994</v>
      </c>
      <c r="K1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92" s="2" t="s">
        <v>396</v>
      </c>
    </row>
    <row r="193" spans="1:12" x14ac:dyDescent="0.25">
      <c r="A193" s="1" t="s">
        <v>1349</v>
      </c>
      <c r="B193" s="1" t="s">
        <v>1348</v>
      </c>
      <c r="C193" s="1" t="s">
        <v>191</v>
      </c>
      <c r="D193" s="1" t="s">
        <v>1321</v>
      </c>
      <c r="E193" s="1">
        <v>30</v>
      </c>
      <c r="F1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93" s="1">
        <v>0</v>
      </c>
      <c r="H193" s="1">
        <v>0</v>
      </c>
      <c r="I193" s="1">
        <f>Tabela1[[#This Row],[Siblings and Spouses]]+Tabela1[[#This Row],[Parents and Children]]</f>
        <v>0</v>
      </c>
      <c r="J193" s="3">
        <v>45.5</v>
      </c>
      <c r="K1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93" s="2" t="s">
        <v>396</v>
      </c>
    </row>
    <row r="194" spans="1:12" x14ac:dyDescent="0.25">
      <c r="A194" s="1" t="s">
        <v>1349</v>
      </c>
      <c r="B194" s="1" t="s">
        <v>1337</v>
      </c>
      <c r="C194" s="1" t="s">
        <v>192</v>
      </c>
      <c r="D194" s="1" t="s">
        <v>1320</v>
      </c>
      <c r="E194" s="1">
        <v>58</v>
      </c>
      <c r="F1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94" s="1">
        <v>0</v>
      </c>
      <c r="H194" s="1">
        <v>0</v>
      </c>
      <c r="I194" s="1">
        <f>Tabela1[[#This Row],[Siblings and Spouses]]+Tabela1[[#This Row],[Parents and Children]]</f>
        <v>0</v>
      </c>
      <c r="J194" s="3">
        <v>146.52080000000001</v>
      </c>
      <c r="K1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194" s="2" t="s">
        <v>1318</v>
      </c>
    </row>
    <row r="195" spans="1:12" x14ac:dyDescent="0.25">
      <c r="A195" s="1" t="s">
        <v>1349</v>
      </c>
      <c r="B195" s="1" t="s">
        <v>1337</v>
      </c>
      <c r="C195" s="1" t="s">
        <v>193</v>
      </c>
      <c r="D195" s="1" t="s">
        <v>1320</v>
      </c>
      <c r="E195" s="1">
        <v>15</v>
      </c>
      <c r="F1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95" s="1">
        <v>0</v>
      </c>
      <c r="H195" s="1">
        <v>1</v>
      </c>
      <c r="I195" s="1">
        <f>Tabela1[[#This Row],[Siblings and Spouses]]+Tabela1[[#This Row],[Parents and Children]]</f>
        <v>1</v>
      </c>
      <c r="J195" s="3">
        <v>211.33750000000001</v>
      </c>
      <c r="K1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195" s="2" t="s">
        <v>396</v>
      </c>
    </row>
    <row r="196" spans="1:12" x14ac:dyDescent="0.25">
      <c r="A196" s="1" t="s">
        <v>1349</v>
      </c>
      <c r="B196" s="1" t="s">
        <v>1348</v>
      </c>
      <c r="C196" s="1" t="s">
        <v>194</v>
      </c>
      <c r="D196" s="1" t="s">
        <v>1321</v>
      </c>
      <c r="E196" s="1">
        <v>30</v>
      </c>
      <c r="F1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96" s="1">
        <v>0</v>
      </c>
      <c r="H196" s="1">
        <v>0</v>
      </c>
      <c r="I196" s="1">
        <f>Tabela1[[#This Row],[Siblings and Spouses]]+Tabela1[[#This Row],[Parents and Children]]</f>
        <v>0</v>
      </c>
      <c r="J196" s="3">
        <v>26</v>
      </c>
      <c r="K1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96" s="2" t="s">
        <v>396</v>
      </c>
    </row>
    <row r="197" spans="1:12" x14ac:dyDescent="0.25">
      <c r="A197" s="1" t="s">
        <v>1349</v>
      </c>
      <c r="B197" s="1" t="s">
        <v>1337</v>
      </c>
      <c r="C197" s="1" t="s">
        <v>195</v>
      </c>
      <c r="D197" s="1" t="s">
        <v>1320</v>
      </c>
      <c r="E197" s="1">
        <v>16</v>
      </c>
      <c r="F1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97" s="1">
        <v>0</v>
      </c>
      <c r="H197" s="1">
        <v>0</v>
      </c>
      <c r="I197" s="1">
        <f>Tabela1[[#This Row],[Siblings and Spouses]]+Tabela1[[#This Row],[Parents and Children]]</f>
        <v>0</v>
      </c>
      <c r="J197" s="3">
        <v>86.5</v>
      </c>
      <c r="K1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97" s="2" t="s">
        <v>396</v>
      </c>
    </row>
    <row r="198" spans="1:12" x14ac:dyDescent="0.25">
      <c r="A198" s="1" t="s">
        <v>1349</v>
      </c>
      <c r="B198" s="1" t="s">
        <v>1337</v>
      </c>
      <c r="C198" s="1" t="s">
        <v>196</v>
      </c>
      <c r="D198" s="1" t="s">
        <v>1321</v>
      </c>
      <c r="E198" s="1" t="s">
        <v>1323</v>
      </c>
      <c r="F1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98" s="1">
        <v>0</v>
      </c>
      <c r="H198" s="1">
        <v>0</v>
      </c>
      <c r="I198" s="1">
        <f>Tabela1[[#This Row],[Siblings and Spouses]]+Tabela1[[#This Row],[Parents and Children]]</f>
        <v>0</v>
      </c>
      <c r="J198" s="3">
        <v>29.7</v>
      </c>
      <c r="K1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98" s="2" t="s">
        <v>1318</v>
      </c>
    </row>
    <row r="199" spans="1:12" x14ac:dyDescent="0.25">
      <c r="A199" s="1" t="s">
        <v>1349</v>
      </c>
      <c r="B199" s="1" t="s">
        <v>1348</v>
      </c>
      <c r="C199" s="1" t="s">
        <v>197</v>
      </c>
      <c r="D199" s="1" t="s">
        <v>1321</v>
      </c>
      <c r="E199" s="1">
        <v>19</v>
      </c>
      <c r="F1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99" s="1">
        <v>1</v>
      </c>
      <c r="H199" s="1">
        <v>0</v>
      </c>
      <c r="I199" s="1">
        <f>Tabela1[[#This Row],[Siblings and Spouses]]+Tabela1[[#This Row],[Parents and Children]]</f>
        <v>1</v>
      </c>
      <c r="J199" s="3">
        <v>53.1</v>
      </c>
      <c r="K1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99" s="2" t="s">
        <v>396</v>
      </c>
    </row>
    <row r="200" spans="1:12" x14ac:dyDescent="0.25">
      <c r="A200" s="1" t="s">
        <v>1349</v>
      </c>
      <c r="B200" s="1" t="s">
        <v>1337</v>
      </c>
      <c r="C200" s="1" t="s">
        <v>198</v>
      </c>
      <c r="D200" s="1" t="s">
        <v>1320</v>
      </c>
      <c r="E200" s="1">
        <v>18</v>
      </c>
      <c r="F2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00" s="1">
        <v>1</v>
      </c>
      <c r="H200" s="1">
        <v>0</v>
      </c>
      <c r="I200" s="1">
        <f>Tabela1[[#This Row],[Siblings and Spouses]]+Tabela1[[#This Row],[Parents and Children]]</f>
        <v>1</v>
      </c>
      <c r="J200" s="3">
        <v>53.1</v>
      </c>
      <c r="K2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0" s="2" t="s">
        <v>396</v>
      </c>
    </row>
    <row r="201" spans="1:12" x14ac:dyDescent="0.25">
      <c r="A201" s="1" t="s">
        <v>1349</v>
      </c>
      <c r="B201" s="1" t="s">
        <v>1337</v>
      </c>
      <c r="C201" s="1" t="s">
        <v>199</v>
      </c>
      <c r="D201" s="1" t="s">
        <v>1320</v>
      </c>
      <c r="E201" s="1">
        <v>24</v>
      </c>
      <c r="F2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01" s="1">
        <v>0</v>
      </c>
      <c r="H201" s="1">
        <v>0</v>
      </c>
      <c r="I201" s="1">
        <f>Tabela1[[#This Row],[Siblings and Spouses]]+Tabela1[[#This Row],[Parents and Children]]</f>
        <v>0</v>
      </c>
      <c r="J201" s="3">
        <v>49.504199999999997</v>
      </c>
      <c r="K2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01" s="2" t="s">
        <v>1318</v>
      </c>
    </row>
    <row r="202" spans="1:12" x14ac:dyDescent="0.25">
      <c r="A202" s="1" t="s">
        <v>1349</v>
      </c>
      <c r="B202" s="1" t="s">
        <v>1348</v>
      </c>
      <c r="C202" s="1" t="s">
        <v>200</v>
      </c>
      <c r="D202" s="1" t="s">
        <v>1321</v>
      </c>
      <c r="E202" s="1">
        <v>46</v>
      </c>
      <c r="F2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02" s="1">
        <v>0</v>
      </c>
      <c r="H202" s="1">
        <v>0</v>
      </c>
      <c r="I202" s="1">
        <f>Tabela1[[#This Row],[Siblings and Spouses]]+Tabela1[[#This Row],[Parents and Children]]</f>
        <v>0</v>
      </c>
      <c r="J202" s="3">
        <v>75.241699999999994</v>
      </c>
      <c r="K2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2" s="2" t="s">
        <v>1318</v>
      </c>
    </row>
    <row r="203" spans="1:12" x14ac:dyDescent="0.25">
      <c r="A203" s="1" t="s">
        <v>1349</v>
      </c>
      <c r="B203" s="1" t="s">
        <v>1348</v>
      </c>
      <c r="C203" s="1" t="s">
        <v>201</v>
      </c>
      <c r="D203" s="1" t="s">
        <v>1321</v>
      </c>
      <c r="E203" s="1">
        <v>54</v>
      </c>
      <c r="F2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03" s="1">
        <v>0</v>
      </c>
      <c r="H203" s="1">
        <v>0</v>
      </c>
      <c r="I203" s="1">
        <f>Tabela1[[#This Row],[Siblings and Spouses]]+Tabela1[[#This Row],[Parents and Children]]</f>
        <v>0</v>
      </c>
      <c r="J203" s="3">
        <v>51.862499999999997</v>
      </c>
      <c r="K2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3" s="2" t="s">
        <v>396</v>
      </c>
    </row>
    <row r="204" spans="1:12" x14ac:dyDescent="0.25">
      <c r="A204" s="1" t="s">
        <v>1349</v>
      </c>
      <c r="B204" s="1" t="s">
        <v>1337</v>
      </c>
      <c r="C204" s="1" t="s">
        <v>202</v>
      </c>
      <c r="D204" s="1" t="s">
        <v>1321</v>
      </c>
      <c r="E204" s="1">
        <v>36</v>
      </c>
      <c r="F2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04" s="1">
        <v>0</v>
      </c>
      <c r="H204" s="1">
        <v>0</v>
      </c>
      <c r="I204" s="1">
        <f>Tabela1[[#This Row],[Siblings and Spouses]]+Tabela1[[#This Row],[Parents and Children]]</f>
        <v>0</v>
      </c>
      <c r="J204" s="3">
        <v>26.287500000000001</v>
      </c>
      <c r="K2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04" s="2" t="s">
        <v>396</v>
      </c>
    </row>
    <row r="205" spans="1:12" x14ac:dyDescent="0.25">
      <c r="A205" s="1" t="s">
        <v>1349</v>
      </c>
      <c r="B205" s="1" t="s">
        <v>1348</v>
      </c>
      <c r="C205" s="1" t="s">
        <v>203</v>
      </c>
      <c r="D205" s="1" t="s">
        <v>1321</v>
      </c>
      <c r="E205" s="1">
        <v>28</v>
      </c>
      <c r="F2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05" s="1">
        <v>1</v>
      </c>
      <c r="H205" s="1">
        <v>0</v>
      </c>
      <c r="I205" s="1">
        <f>Tabela1[[#This Row],[Siblings and Spouses]]+Tabela1[[#This Row],[Parents and Children]]</f>
        <v>1</v>
      </c>
      <c r="J205" s="3">
        <v>82.1708</v>
      </c>
      <c r="K2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5" s="2" t="s">
        <v>1318</v>
      </c>
    </row>
    <row r="206" spans="1:12" x14ac:dyDescent="0.25">
      <c r="A206" s="1" t="s">
        <v>1349</v>
      </c>
      <c r="B206" s="1" t="s">
        <v>1337</v>
      </c>
      <c r="C206" s="1" t="s">
        <v>204</v>
      </c>
      <c r="D206" s="1" t="s">
        <v>1320</v>
      </c>
      <c r="E206" s="1" t="s">
        <v>1323</v>
      </c>
      <c r="F2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06" s="1">
        <v>1</v>
      </c>
      <c r="H206" s="1">
        <v>0</v>
      </c>
      <c r="I206" s="1">
        <f>Tabela1[[#This Row],[Siblings and Spouses]]+Tabela1[[#This Row],[Parents and Children]]</f>
        <v>1</v>
      </c>
      <c r="J206" s="3">
        <v>82.1708</v>
      </c>
      <c r="K2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6" s="2" t="s">
        <v>1318</v>
      </c>
    </row>
    <row r="207" spans="1:12" x14ac:dyDescent="0.25">
      <c r="A207" s="1" t="s">
        <v>1349</v>
      </c>
      <c r="B207" s="1" t="s">
        <v>1348</v>
      </c>
      <c r="C207" s="1" t="s">
        <v>205</v>
      </c>
      <c r="D207" s="1" t="s">
        <v>1321</v>
      </c>
      <c r="E207" s="1">
        <v>65</v>
      </c>
      <c r="F2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07" s="1">
        <v>0</v>
      </c>
      <c r="H207" s="1">
        <v>0</v>
      </c>
      <c r="I207" s="1">
        <f>Tabela1[[#This Row],[Siblings and Spouses]]+Tabela1[[#This Row],[Parents and Children]]</f>
        <v>0</v>
      </c>
      <c r="J207" s="3">
        <v>26.55</v>
      </c>
      <c r="K2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07" s="2" t="s">
        <v>396</v>
      </c>
    </row>
    <row r="208" spans="1:12" x14ac:dyDescent="0.25">
      <c r="A208" s="1" t="s">
        <v>1349</v>
      </c>
      <c r="B208" s="1" t="s">
        <v>1348</v>
      </c>
      <c r="C208" s="1" t="s">
        <v>206</v>
      </c>
      <c r="D208" s="1" t="s">
        <v>1321</v>
      </c>
      <c r="E208" s="1">
        <v>44</v>
      </c>
      <c r="F2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08" s="1">
        <v>2</v>
      </c>
      <c r="H208" s="1">
        <v>0</v>
      </c>
      <c r="I208" s="1">
        <f>Tabela1[[#This Row],[Siblings and Spouses]]+Tabela1[[#This Row],[Parents and Children]]</f>
        <v>2</v>
      </c>
      <c r="J208" s="3">
        <v>90</v>
      </c>
      <c r="K2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8" s="2" t="s">
        <v>1319</v>
      </c>
    </row>
    <row r="209" spans="1:12" x14ac:dyDescent="0.25">
      <c r="A209" s="1" t="s">
        <v>1349</v>
      </c>
      <c r="B209" s="1" t="s">
        <v>1337</v>
      </c>
      <c r="C209" s="1" t="s">
        <v>207</v>
      </c>
      <c r="D209" s="1" t="s">
        <v>1320</v>
      </c>
      <c r="E209" s="1">
        <v>33</v>
      </c>
      <c r="F2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09" s="1">
        <v>1</v>
      </c>
      <c r="H209" s="1">
        <v>0</v>
      </c>
      <c r="I209" s="1">
        <f>Tabela1[[#This Row],[Siblings and Spouses]]+Tabela1[[#This Row],[Parents and Children]]</f>
        <v>1</v>
      </c>
      <c r="J209" s="3">
        <v>90</v>
      </c>
      <c r="K2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09" s="2" t="s">
        <v>1319</v>
      </c>
    </row>
    <row r="210" spans="1:12" x14ac:dyDescent="0.25">
      <c r="A210" s="1" t="s">
        <v>1349</v>
      </c>
      <c r="B210" s="1" t="s">
        <v>1337</v>
      </c>
      <c r="C210" s="1" t="s">
        <v>208</v>
      </c>
      <c r="D210" s="1" t="s">
        <v>1320</v>
      </c>
      <c r="E210" s="1">
        <v>37</v>
      </c>
      <c r="F2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10" s="1">
        <v>1</v>
      </c>
      <c r="H210" s="1">
        <v>0</v>
      </c>
      <c r="I210" s="1">
        <f>Tabela1[[#This Row],[Siblings and Spouses]]+Tabela1[[#This Row],[Parents and Children]]</f>
        <v>1</v>
      </c>
      <c r="J210" s="3">
        <v>90</v>
      </c>
      <c r="K2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10" s="2" t="s">
        <v>1319</v>
      </c>
    </row>
    <row r="211" spans="1:12" x14ac:dyDescent="0.25">
      <c r="A211" s="1" t="s">
        <v>1349</v>
      </c>
      <c r="B211" s="1" t="s">
        <v>1337</v>
      </c>
      <c r="C211" s="1" t="s">
        <v>209</v>
      </c>
      <c r="D211" s="1" t="s">
        <v>1321</v>
      </c>
      <c r="E211" s="1">
        <v>30</v>
      </c>
      <c r="F2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11" s="1">
        <v>1</v>
      </c>
      <c r="H211" s="1">
        <v>0</v>
      </c>
      <c r="I211" s="1">
        <f>Tabela1[[#This Row],[Siblings and Spouses]]+Tabela1[[#This Row],[Parents and Children]]</f>
        <v>1</v>
      </c>
      <c r="J211" s="3">
        <v>57.75</v>
      </c>
      <c r="K2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11" s="2" t="s">
        <v>1318</v>
      </c>
    </row>
    <row r="212" spans="1:12" x14ac:dyDescent="0.25">
      <c r="A212" s="1" t="s">
        <v>1349</v>
      </c>
      <c r="B212" s="1" t="s">
        <v>1348</v>
      </c>
      <c r="C212" s="1" t="s">
        <v>210</v>
      </c>
      <c r="D212" s="1" t="s">
        <v>1321</v>
      </c>
      <c r="E212" s="1">
        <v>55</v>
      </c>
      <c r="F2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12" s="1">
        <v>0</v>
      </c>
      <c r="H212" s="1">
        <v>0</v>
      </c>
      <c r="I212" s="1">
        <f>Tabela1[[#This Row],[Siblings and Spouses]]+Tabela1[[#This Row],[Parents and Children]]</f>
        <v>0</v>
      </c>
      <c r="J212" s="3">
        <v>30.5</v>
      </c>
      <c r="K2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12" s="2" t="s">
        <v>396</v>
      </c>
    </row>
    <row r="213" spans="1:12" x14ac:dyDescent="0.25">
      <c r="A213" s="1" t="s">
        <v>1349</v>
      </c>
      <c r="B213" s="1" t="s">
        <v>1348</v>
      </c>
      <c r="C213" s="1" t="s">
        <v>211</v>
      </c>
      <c r="D213" s="1" t="s">
        <v>1321</v>
      </c>
      <c r="E213" s="1">
        <v>47</v>
      </c>
      <c r="F2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13" s="1">
        <v>0</v>
      </c>
      <c r="H213" s="1">
        <v>0</v>
      </c>
      <c r="I213" s="1">
        <f>Tabela1[[#This Row],[Siblings and Spouses]]+Tabela1[[#This Row],[Parents and Children]]</f>
        <v>0</v>
      </c>
      <c r="J213" s="3">
        <v>42.4</v>
      </c>
      <c r="K2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13" s="2" t="s">
        <v>396</v>
      </c>
    </row>
    <row r="214" spans="1:12" x14ac:dyDescent="0.25">
      <c r="A214" s="1" t="s">
        <v>1349</v>
      </c>
      <c r="B214" s="1" t="s">
        <v>1348</v>
      </c>
      <c r="C214" s="1" t="s">
        <v>212</v>
      </c>
      <c r="D214" s="1" t="s">
        <v>1321</v>
      </c>
      <c r="E214" s="1">
        <v>37</v>
      </c>
      <c r="F2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14" s="1">
        <v>0</v>
      </c>
      <c r="H214" s="1">
        <v>1</v>
      </c>
      <c r="I214" s="1">
        <f>Tabela1[[#This Row],[Siblings and Spouses]]+Tabela1[[#This Row],[Parents and Children]]</f>
        <v>1</v>
      </c>
      <c r="J214" s="3">
        <v>29.7</v>
      </c>
      <c r="K2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14" s="2" t="s">
        <v>1318</v>
      </c>
    </row>
    <row r="215" spans="1:12" x14ac:dyDescent="0.25">
      <c r="A215" s="1" t="s">
        <v>1349</v>
      </c>
      <c r="B215" s="1" t="s">
        <v>1337</v>
      </c>
      <c r="C215" s="1" t="s">
        <v>213</v>
      </c>
      <c r="D215" s="1" t="s">
        <v>1320</v>
      </c>
      <c r="E215" s="1">
        <v>31</v>
      </c>
      <c r="F2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15" s="1">
        <v>1</v>
      </c>
      <c r="H215" s="1">
        <v>0</v>
      </c>
      <c r="I215" s="1">
        <f>Tabela1[[#This Row],[Siblings and Spouses]]+Tabela1[[#This Row],[Parents and Children]]</f>
        <v>1</v>
      </c>
      <c r="J215" s="3">
        <v>113.27500000000001</v>
      </c>
      <c r="K2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15" s="2" t="s">
        <v>1318</v>
      </c>
    </row>
    <row r="216" spans="1:12" x14ac:dyDescent="0.25">
      <c r="A216" s="1" t="s">
        <v>1349</v>
      </c>
      <c r="B216" s="1" t="s">
        <v>1337</v>
      </c>
      <c r="C216" s="1" t="s">
        <v>214</v>
      </c>
      <c r="D216" s="1" t="s">
        <v>1320</v>
      </c>
      <c r="E216" s="1">
        <v>23</v>
      </c>
      <c r="F2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16" s="1">
        <v>1</v>
      </c>
      <c r="H216" s="1">
        <v>0</v>
      </c>
      <c r="I216" s="1">
        <f>Tabela1[[#This Row],[Siblings and Spouses]]+Tabela1[[#This Row],[Parents and Children]]</f>
        <v>1</v>
      </c>
      <c r="J216" s="3">
        <v>113.27500000000001</v>
      </c>
      <c r="K2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16" s="2" t="s">
        <v>1318</v>
      </c>
    </row>
    <row r="217" spans="1:12" x14ac:dyDescent="0.25">
      <c r="A217" s="1" t="s">
        <v>1349</v>
      </c>
      <c r="B217" s="1" t="s">
        <v>1348</v>
      </c>
      <c r="C217" s="1" t="s">
        <v>215</v>
      </c>
      <c r="D217" s="1" t="s">
        <v>1321</v>
      </c>
      <c r="E217" s="1">
        <v>58</v>
      </c>
      <c r="F2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17" s="1">
        <v>0</v>
      </c>
      <c r="H217" s="1">
        <v>2</v>
      </c>
      <c r="I217" s="1">
        <f>Tabela1[[#This Row],[Siblings and Spouses]]+Tabela1[[#This Row],[Parents and Children]]</f>
        <v>2</v>
      </c>
      <c r="J217" s="3">
        <v>113.27500000000001</v>
      </c>
      <c r="K2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17" s="2" t="s">
        <v>1318</v>
      </c>
    </row>
    <row r="218" spans="1:12" x14ac:dyDescent="0.25">
      <c r="A218" s="1" t="s">
        <v>1349</v>
      </c>
      <c r="B218" s="1" t="s">
        <v>1337</v>
      </c>
      <c r="C218" s="1" t="s">
        <v>216</v>
      </c>
      <c r="D218" s="1" t="s">
        <v>1320</v>
      </c>
      <c r="E218" s="1">
        <v>19</v>
      </c>
      <c r="F2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18" s="1">
        <v>0</v>
      </c>
      <c r="H218" s="1">
        <v>2</v>
      </c>
      <c r="I218" s="1">
        <f>Tabela1[[#This Row],[Siblings and Spouses]]+Tabela1[[#This Row],[Parents and Children]]</f>
        <v>2</v>
      </c>
      <c r="J218" s="3">
        <v>26.283300000000001</v>
      </c>
      <c r="K2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18" s="2" t="s">
        <v>396</v>
      </c>
    </row>
    <row r="219" spans="1:12" x14ac:dyDescent="0.25">
      <c r="A219" s="1" t="s">
        <v>1349</v>
      </c>
      <c r="B219" s="1" t="s">
        <v>1348</v>
      </c>
      <c r="C219" s="1" t="s">
        <v>217</v>
      </c>
      <c r="D219" s="1" t="s">
        <v>1321</v>
      </c>
      <c r="E219" s="1">
        <v>64</v>
      </c>
      <c r="F2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19" s="1">
        <v>0</v>
      </c>
      <c r="H219" s="1">
        <v>0</v>
      </c>
      <c r="I219" s="1">
        <f>Tabela1[[#This Row],[Siblings and Spouses]]+Tabela1[[#This Row],[Parents and Children]]</f>
        <v>0</v>
      </c>
      <c r="J219" s="3">
        <v>26</v>
      </c>
      <c r="K2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19" s="2" t="s">
        <v>396</v>
      </c>
    </row>
    <row r="220" spans="1:12" x14ac:dyDescent="0.25">
      <c r="A220" s="1" t="s">
        <v>1349</v>
      </c>
      <c r="B220" s="1" t="s">
        <v>1337</v>
      </c>
      <c r="C220" s="1" t="s">
        <v>218</v>
      </c>
      <c r="D220" s="1" t="s">
        <v>1320</v>
      </c>
      <c r="E220" s="1">
        <v>39</v>
      </c>
      <c r="F2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20" s="1">
        <v>0</v>
      </c>
      <c r="H220" s="1">
        <v>0</v>
      </c>
      <c r="I220" s="1">
        <f>Tabela1[[#This Row],[Siblings and Spouses]]+Tabela1[[#This Row],[Parents and Children]]</f>
        <v>0</v>
      </c>
      <c r="J220" s="3">
        <v>108.9</v>
      </c>
      <c r="K2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20" s="2" t="s">
        <v>1318</v>
      </c>
    </row>
    <row r="221" spans="1:12" x14ac:dyDescent="0.25">
      <c r="A221" s="1" t="s">
        <v>1349</v>
      </c>
      <c r="B221" s="1" t="s">
        <v>1337</v>
      </c>
      <c r="C221" s="1" t="s">
        <v>219</v>
      </c>
      <c r="D221" s="1" t="s">
        <v>1321</v>
      </c>
      <c r="E221" s="1" t="s">
        <v>1323</v>
      </c>
      <c r="F2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21" s="1">
        <v>0</v>
      </c>
      <c r="H221" s="1">
        <v>0</v>
      </c>
      <c r="I221" s="1">
        <f>Tabela1[[#This Row],[Siblings and Spouses]]+Tabela1[[#This Row],[Parents and Children]]</f>
        <v>0</v>
      </c>
      <c r="J221" s="3">
        <v>25.741700000000002</v>
      </c>
      <c r="K2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221" s="2" t="s">
        <v>1318</v>
      </c>
    </row>
    <row r="222" spans="1:12" x14ac:dyDescent="0.25">
      <c r="A222" s="1" t="s">
        <v>1349</v>
      </c>
      <c r="B222" s="1" t="s">
        <v>1337</v>
      </c>
      <c r="C222" s="1" t="s">
        <v>220</v>
      </c>
      <c r="D222" s="1" t="s">
        <v>1320</v>
      </c>
      <c r="E222" s="1">
        <v>22</v>
      </c>
      <c r="F2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22" s="1">
        <v>0</v>
      </c>
      <c r="H222" s="1">
        <v>1</v>
      </c>
      <c r="I222" s="1">
        <f>Tabela1[[#This Row],[Siblings and Spouses]]+Tabela1[[#This Row],[Parents and Children]]</f>
        <v>1</v>
      </c>
      <c r="J222" s="3">
        <v>61.979199999999999</v>
      </c>
      <c r="K2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22" s="2" t="s">
        <v>1318</v>
      </c>
    </row>
    <row r="223" spans="1:12" x14ac:dyDescent="0.25">
      <c r="A223" s="1" t="s">
        <v>1349</v>
      </c>
      <c r="B223" s="1" t="s">
        <v>1348</v>
      </c>
      <c r="C223" s="1" t="s">
        <v>221</v>
      </c>
      <c r="D223" s="1" t="s">
        <v>1321</v>
      </c>
      <c r="E223" s="1">
        <v>65</v>
      </c>
      <c r="F2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23" s="1">
        <v>0</v>
      </c>
      <c r="H223" s="1">
        <v>1</v>
      </c>
      <c r="I223" s="1">
        <f>Tabela1[[#This Row],[Siblings and Spouses]]+Tabela1[[#This Row],[Parents and Children]]</f>
        <v>1</v>
      </c>
      <c r="J223" s="3">
        <v>61.979199999999999</v>
      </c>
      <c r="K2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23" s="2" t="s">
        <v>1318</v>
      </c>
    </row>
    <row r="224" spans="1:12" x14ac:dyDescent="0.25">
      <c r="A224" s="1" t="s">
        <v>1349</v>
      </c>
      <c r="B224" s="1" t="s">
        <v>1348</v>
      </c>
      <c r="C224" s="1" t="s">
        <v>222</v>
      </c>
      <c r="D224" s="1" t="s">
        <v>1321</v>
      </c>
      <c r="E224" s="1">
        <v>28.5</v>
      </c>
      <c r="F2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24" s="1">
        <v>0</v>
      </c>
      <c r="H224" s="1">
        <v>0</v>
      </c>
      <c r="I224" s="1">
        <f>Tabela1[[#This Row],[Siblings and Spouses]]+Tabela1[[#This Row],[Parents and Children]]</f>
        <v>0</v>
      </c>
      <c r="J224" s="3">
        <v>27.720800000000001</v>
      </c>
      <c r="K2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24" s="2" t="s">
        <v>1318</v>
      </c>
    </row>
    <row r="225" spans="1:12" x14ac:dyDescent="0.25">
      <c r="A225" s="1" t="s">
        <v>1349</v>
      </c>
      <c r="B225" s="1" t="s">
        <v>1348</v>
      </c>
      <c r="C225" s="1" t="s">
        <v>223</v>
      </c>
      <c r="D225" s="1" t="s">
        <v>1321</v>
      </c>
      <c r="E225" s="1" t="s">
        <v>1323</v>
      </c>
      <c r="F2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25" s="1">
        <v>0</v>
      </c>
      <c r="H225" s="1">
        <v>0</v>
      </c>
      <c r="I225" s="1">
        <f>Tabela1[[#This Row],[Siblings and Spouses]]+Tabela1[[#This Row],[Parents and Children]]</f>
        <v>0</v>
      </c>
      <c r="J225" s="3">
        <v>0</v>
      </c>
      <c r="K2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225" s="2" t="s">
        <v>396</v>
      </c>
    </row>
    <row r="226" spans="1:12" x14ac:dyDescent="0.25">
      <c r="A226" s="1" t="s">
        <v>1349</v>
      </c>
      <c r="B226" s="1" t="s">
        <v>1348</v>
      </c>
      <c r="C226" s="1" t="s">
        <v>224</v>
      </c>
      <c r="D226" s="1" t="s">
        <v>1321</v>
      </c>
      <c r="E226" s="1">
        <v>45.5</v>
      </c>
      <c r="F2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26" s="1">
        <v>0</v>
      </c>
      <c r="H226" s="1">
        <v>0</v>
      </c>
      <c r="I226" s="1">
        <f>Tabela1[[#This Row],[Siblings and Spouses]]+Tabela1[[#This Row],[Parents and Children]]</f>
        <v>0</v>
      </c>
      <c r="J226" s="3">
        <v>28.5</v>
      </c>
      <c r="K2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26" s="2" t="s">
        <v>396</v>
      </c>
    </row>
    <row r="227" spans="1:12" x14ac:dyDescent="0.25">
      <c r="A227" s="1" t="s">
        <v>1349</v>
      </c>
      <c r="B227" s="1" t="s">
        <v>1348</v>
      </c>
      <c r="C227" s="1" t="s">
        <v>225</v>
      </c>
      <c r="D227" s="1" t="s">
        <v>1321</v>
      </c>
      <c r="E227" s="1">
        <v>23</v>
      </c>
      <c r="F2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27" s="1">
        <v>0</v>
      </c>
      <c r="H227" s="1">
        <v>0</v>
      </c>
      <c r="I227" s="1">
        <f>Tabela1[[#This Row],[Siblings and Spouses]]+Tabela1[[#This Row],[Parents and Children]]</f>
        <v>0</v>
      </c>
      <c r="J227" s="3">
        <v>93.5</v>
      </c>
      <c r="K2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27" s="2" t="s">
        <v>396</v>
      </c>
    </row>
    <row r="228" spans="1:12" x14ac:dyDescent="0.25">
      <c r="A228" s="1" t="s">
        <v>1349</v>
      </c>
      <c r="B228" s="1" t="s">
        <v>1348</v>
      </c>
      <c r="C228" s="1" t="s">
        <v>226</v>
      </c>
      <c r="D228" s="1" t="s">
        <v>1321</v>
      </c>
      <c r="E228" s="1">
        <v>29</v>
      </c>
      <c r="F2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28" s="1">
        <v>1</v>
      </c>
      <c r="H228" s="1">
        <v>0</v>
      </c>
      <c r="I228" s="1">
        <f>Tabela1[[#This Row],[Siblings and Spouses]]+Tabela1[[#This Row],[Parents and Children]]</f>
        <v>1</v>
      </c>
      <c r="J228" s="3">
        <v>66.599999999999994</v>
      </c>
      <c r="K2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28" s="2" t="s">
        <v>396</v>
      </c>
    </row>
    <row r="229" spans="1:12" x14ac:dyDescent="0.25">
      <c r="A229" s="1" t="s">
        <v>1349</v>
      </c>
      <c r="B229" s="1" t="s">
        <v>1337</v>
      </c>
      <c r="C229" s="1" t="s">
        <v>227</v>
      </c>
      <c r="D229" s="1" t="s">
        <v>1320</v>
      </c>
      <c r="E229" s="1">
        <v>22</v>
      </c>
      <c r="F2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29" s="1">
        <v>1</v>
      </c>
      <c r="H229" s="1">
        <v>0</v>
      </c>
      <c r="I229" s="1">
        <f>Tabela1[[#This Row],[Siblings and Spouses]]+Tabela1[[#This Row],[Parents and Children]]</f>
        <v>1</v>
      </c>
      <c r="J229" s="3">
        <v>66.599999999999994</v>
      </c>
      <c r="K2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29" s="2" t="s">
        <v>396</v>
      </c>
    </row>
    <row r="230" spans="1:12" x14ac:dyDescent="0.25">
      <c r="A230" s="1" t="s">
        <v>1349</v>
      </c>
      <c r="B230" s="1" t="s">
        <v>1348</v>
      </c>
      <c r="C230" s="1" t="s">
        <v>228</v>
      </c>
      <c r="D230" s="1" t="s">
        <v>1321</v>
      </c>
      <c r="E230" s="1">
        <v>18</v>
      </c>
      <c r="F2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30" s="1">
        <v>1</v>
      </c>
      <c r="H230" s="1">
        <v>0</v>
      </c>
      <c r="I230" s="1">
        <f>Tabela1[[#This Row],[Siblings and Spouses]]+Tabela1[[#This Row],[Parents and Children]]</f>
        <v>1</v>
      </c>
      <c r="J230" s="3">
        <v>108.9</v>
      </c>
      <c r="K2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30" s="2" t="s">
        <v>1318</v>
      </c>
    </row>
    <row r="231" spans="1:12" x14ac:dyDescent="0.25">
      <c r="A231" s="1" t="s">
        <v>1349</v>
      </c>
      <c r="B231" s="1" t="s">
        <v>1337</v>
      </c>
      <c r="C231" s="1" t="s">
        <v>229</v>
      </c>
      <c r="D231" s="1" t="s">
        <v>1320</v>
      </c>
      <c r="E231" s="1">
        <v>17</v>
      </c>
      <c r="F2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31" s="1">
        <v>1</v>
      </c>
      <c r="H231" s="1">
        <v>0</v>
      </c>
      <c r="I231" s="1">
        <f>Tabela1[[#This Row],[Siblings and Spouses]]+Tabela1[[#This Row],[Parents and Children]]</f>
        <v>1</v>
      </c>
      <c r="J231" s="3">
        <v>108.9</v>
      </c>
      <c r="K2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31" s="2" t="s">
        <v>1318</v>
      </c>
    </row>
    <row r="232" spans="1:12" x14ac:dyDescent="0.25">
      <c r="A232" s="1" t="s">
        <v>1349</v>
      </c>
      <c r="B232" s="1" t="s">
        <v>1337</v>
      </c>
      <c r="C232" s="1" t="s">
        <v>230</v>
      </c>
      <c r="D232" s="1" t="s">
        <v>1320</v>
      </c>
      <c r="E232" s="1">
        <v>30</v>
      </c>
      <c r="F2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32" s="1">
        <v>0</v>
      </c>
      <c r="H232" s="1">
        <v>0</v>
      </c>
      <c r="I232" s="1">
        <f>Tabela1[[#This Row],[Siblings and Spouses]]+Tabela1[[#This Row],[Parents and Children]]</f>
        <v>0</v>
      </c>
      <c r="J232" s="3">
        <v>93.5</v>
      </c>
      <c r="K2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32" s="2" t="s">
        <v>396</v>
      </c>
    </row>
    <row r="233" spans="1:12" x14ac:dyDescent="0.25">
      <c r="A233" s="1" t="s">
        <v>1349</v>
      </c>
      <c r="B233" s="1" t="s">
        <v>1337</v>
      </c>
      <c r="C233" s="1" t="s">
        <v>231</v>
      </c>
      <c r="D233" s="1" t="s">
        <v>1321</v>
      </c>
      <c r="E233" s="1">
        <v>52</v>
      </c>
      <c r="F2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33" s="1">
        <v>0</v>
      </c>
      <c r="H233" s="1">
        <v>0</v>
      </c>
      <c r="I233" s="1">
        <f>Tabela1[[#This Row],[Siblings and Spouses]]+Tabela1[[#This Row],[Parents and Children]]</f>
        <v>0</v>
      </c>
      <c r="J233" s="3">
        <v>30.5</v>
      </c>
      <c r="K2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33" s="2" t="s">
        <v>396</v>
      </c>
    </row>
    <row r="234" spans="1:12" x14ac:dyDescent="0.25">
      <c r="A234" s="1" t="s">
        <v>1349</v>
      </c>
      <c r="B234" s="1" t="s">
        <v>1348</v>
      </c>
      <c r="C234" s="1" t="s">
        <v>232</v>
      </c>
      <c r="D234" s="1" t="s">
        <v>1321</v>
      </c>
      <c r="E234" s="1">
        <v>47</v>
      </c>
      <c r="F2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34" s="1">
        <v>0</v>
      </c>
      <c r="H234" s="1">
        <v>0</v>
      </c>
      <c r="I234" s="1">
        <f>Tabela1[[#This Row],[Siblings and Spouses]]+Tabela1[[#This Row],[Parents and Children]]</f>
        <v>0</v>
      </c>
      <c r="J234" s="3">
        <v>52</v>
      </c>
      <c r="K2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34" s="2" t="s">
        <v>396</v>
      </c>
    </row>
    <row r="235" spans="1:12" x14ac:dyDescent="0.25">
      <c r="A235" s="1" t="s">
        <v>1349</v>
      </c>
      <c r="B235" s="1" t="s">
        <v>1337</v>
      </c>
      <c r="C235" s="1" t="s">
        <v>233</v>
      </c>
      <c r="D235" s="1" t="s">
        <v>1320</v>
      </c>
      <c r="E235" s="1">
        <v>56</v>
      </c>
      <c r="F2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35" s="1">
        <v>0</v>
      </c>
      <c r="H235" s="1">
        <v>1</v>
      </c>
      <c r="I235" s="1">
        <f>Tabela1[[#This Row],[Siblings and Spouses]]+Tabela1[[#This Row],[Parents and Children]]</f>
        <v>1</v>
      </c>
      <c r="J235" s="3">
        <v>83.158299999999997</v>
      </c>
      <c r="K2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35" s="2" t="s">
        <v>1318</v>
      </c>
    </row>
    <row r="236" spans="1:12" x14ac:dyDescent="0.25">
      <c r="A236" s="1" t="s">
        <v>1349</v>
      </c>
      <c r="B236" s="1" t="s">
        <v>1348</v>
      </c>
      <c r="C236" s="1" t="s">
        <v>234</v>
      </c>
      <c r="D236" s="1" t="s">
        <v>1321</v>
      </c>
      <c r="E236" s="1">
        <v>38</v>
      </c>
      <c r="F2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36" s="1">
        <v>0</v>
      </c>
      <c r="H236" s="1">
        <v>0</v>
      </c>
      <c r="I236" s="1">
        <f>Tabela1[[#This Row],[Siblings and Spouses]]+Tabela1[[#This Row],[Parents and Children]]</f>
        <v>0</v>
      </c>
      <c r="J236" s="3">
        <v>0</v>
      </c>
      <c r="K2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236" s="2" t="s">
        <v>396</v>
      </c>
    </row>
    <row r="237" spans="1:12" x14ac:dyDescent="0.25">
      <c r="A237" s="1" t="s">
        <v>1349</v>
      </c>
      <c r="B237" s="1" t="s">
        <v>1337</v>
      </c>
      <c r="C237" s="1" t="s">
        <v>235</v>
      </c>
      <c r="D237" s="1" t="s">
        <v>1321</v>
      </c>
      <c r="E237" s="1" t="s">
        <v>1323</v>
      </c>
      <c r="F2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37" s="1">
        <v>0</v>
      </c>
      <c r="H237" s="1">
        <v>0</v>
      </c>
      <c r="I237" s="1">
        <f>Tabela1[[#This Row],[Siblings and Spouses]]+Tabela1[[#This Row],[Parents and Children]]</f>
        <v>0</v>
      </c>
      <c r="J237" s="3">
        <v>39.6</v>
      </c>
      <c r="K2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37" s="2" t="s">
        <v>396</v>
      </c>
    </row>
    <row r="238" spans="1:12" x14ac:dyDescent="0.25">
      <c r="A238" s="1" t="s">
        <v>1349</v>
      </c>
      <c r="B238" s="1" t="s">
        <v>1348</v>
      </c>
      <c r="C238" s="1" t="s">
        <v>236</v>
      </c>
      <c r="D238" s="1" t="s">
        <v>1321</v>
      </c>
      <c r="E238" s="1">
        <v>22</v>
      </c>
      <c r="F2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38" s="1">
        <v>0</v>
      </c>
      <c r="H238" s="1">
        <v>0</v>
      </c>
      <c r="I238" s="1">
        <f>Tabela1[[#This Row],[Siblings and Spouses]]+Tabela1[[#This Row],[Parents and Children]]</f>
        <v>0</v>
      </c>
      <c r="J238" s="3">
        <v>135.63329999999999</v>
      </c>
      <c r="K2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38" s="2" t="s">
        <v>1318</v>
      </c>
    </row>
    <row r="239" spans="1:12" x14ac:dyDescent="0.25">
      <c r="A239" s="1" t="s">
        <v>1349</v>
      </c>
      <c r="B239" s="1" t="s">
        <v>1348</v>
      </c>
      <c r="C239" s="1" t="s">
        <v>237</v>
      </c>
      <c r="D239" s="1" t="s">
        <v>1321</v>
      </c>
      <c r="E239" s="1" t="s">
        <v>1323</v>
      </c>
      <c r="F2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39" s="1">
        <v>0</v>
      </c>
      <c r="H239" s="1">
        <v>0</v>
      </c>
      <c r="I239" s="1">
        <f>Tabela1[[#This Row],[Siblings and Spouses]]+Tabela1[[#This Row],[Parents and Children]]</f>
        <v>0</v>
      </c>
      <c r="J239" s="3">
        <v>227.52500000000001</v>
      </c>
      <c r="K2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39" s="2" t="s">
        <v>1318</v>
      </c>
    </row>
    <row r="240" spans="1:12" x14ac:dyDescent="0.25">
      <c r="A240" s="1" t="s">
        <v>1349</v>
      </c>
      <c r="B240" s="1" t="s">
        <v>1337</v>
      </c>
      <c r="C240" s="1" t="s">
        <v>238</v>
      </c>
      <c r="D240" s="1" t="s">
        <v>1320</v>
      </c>
      <c r="E240" s="1">
        <v>43</v>
      </c>
      <c r="F2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40" s="1">
        <v>0</v>
      </c>
      <c r="H240" s="1">
        <v>1</v>
      </c>
      <c r="I240" s="1">
        <f>Tabela1[[#This Row],[Siblings and Spouses]]+Tabela1[[#This Row],[Parents and Children]]</f>
        <v>1</v>
      </c>
      <c r="J240" s="3">
        <v>211.33750000000001</v>
      </c>
      <c r="K2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40" s="2" t="s">
        <v>396</v>
      </c>
    </row>
    <row r="241" spans="1:12" x14ac:dyDescent="0.25">
      <c r="A241" s="1" t="s">
        <v>1349</v>
      </c>
      <c r="B241" s="1" t="s">
        <v>1348</v>
      </c>
      <c r="C241" s="1" t="s">
        <v>239</v>
      </c>
      <c r="D241" s="1" t="s">
        <v>1321</v>
      </c>
      <c r="E241" s="1">
        <v>31</v>
      </c>
      <c r="F2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41" s="1">
        <v>0</v>
      </c>
      <c r="H241" s="1">
        <v>0</v>
      </c>
      <c r="I241" s="1">
        <f>Tabela1[[#This Row],[Siblings and Spouses]]+Tabela1[[#This Row],[Parents and Children]]</f>
        <v>0</v>
      </c>
      <c r="J241" s="3">
        <v>50.495800000000003</v>
      </c>
      <c r="K2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41" s="2" t="s">
        <v>396</v>
      </c>
    </row>
    <row r="242" spans="1:12" x14ac:dyDescent="0.25">
      <c r="A242" s="1" t="s">
        <v>1349</v>
      </c>
      <c r="B242" s="1" t="s">
        <v>1337</v>
      </c>
      <c r="C242" s="1" t="s">
        <v>240</v>
      </c>
      <c r="D242" s="1" t="s">
        <v>1321</v>
      </c>
      <c r="E242" s="1">
        <v>45</v>
      </c>
      <c r="F2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42" s="1">
        <v>0</v>
      </c>
      <c r="H242" s="1">
        <v>0</v>
      </c>
      <c r="I242" s="1">
        <f>Tabela1[[#This Row],[Siblings and Spouses]]+Tabela1[[#This Row],[Parents and Children]]</f>
        <v>0</v>
      </c>
      <c r="J242" s="3">
        <v>26.55</v>
      </c>
      <c r="K2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42" s="2" t="s">
        <v>396</v>
      </c>
    </row>
    <row r="243" spans="1:12" x14ac:dyDescent="0.25">
      <c r="A243" s="1" t="s">
        <v>1349</v>
      </c>
      <c r="B243" s="1" t="s">
        <v>1348</v>
      </c>
      <c r="C243" s="1" t="s">
        <v>241</v>
      </c>
      <c r="D243" s="1" t="s">
        <v>1321</v>
      </c>
      <c r="E243" s="1" t="s">
        <v>1323</v>
      </c>
      <c r="F2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43" s="1">
        <v>0</v>
      </c>
      <c r="H243" s="1">
        <v>0</v>
      </c>
      <c r="I243" s="1">
        <f>Tabela1[[#This Row],[Siblings and Spouses]]+Tabela1[[#This Row],[Parents and Children]]</f>
        <v>0</v>
      </c>
      <c r="J243" s="3">
        <v>50</v>
      </c>
      <c r="K2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43" s="2" t="s">
        <v>396</v>
      </c>
    </row>
    <row r="244" spans="1:12" x14ac:dyDescent="0.25">
      <c r="A244" s="1" t="s">
        <v>1349</v>
      </c>
      <c r="B244" s="1" t="s">
        <v>1337</v>
      </c>
      <c r="C244" s="1" t="s">
        <v>242</v>
      </c>
      <c r="D244" s="1" t="s">
        <v>1320</v>
      </c>
      <c r="E244" s="1">
        <v>33</v>
      </c>
      <c r="F2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44" s="1">
        <v>0</v>
      </c>
      <c r="H244" s="1">
        <v>0</v>
      </c>
      <c r="I244" s="1">
        <f>Tabela1[[#This Row],[Siblings and Spouses]]+Tabela1[[#This Row],[Parents and Children]]</f>
        <v>0</v>
      </c>
      <c r="J244" s="3">
        <v>27.720800000000001</v>
      </c>
      <c r="K2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44" s="2" t="s">
        <v>1318</v>
      </c>
    </row>
    <row r="245" spans="1:12" x14ac:dyDescent="0.25">
      <c r="A245" s="1" t="s">
        <v>1349</v>
      </c>
      <c r="B245" s="1" t="s">
        <v>1348</v>
      </c>
      <c r="C245" s="1" t="s">
        <v>243</v>
      </c>
      <c r="D245" s="1" t="s">
        <v>1321</v>
      </c>
      <c r="E245" s="1">
        <v>46</v>
      </c>
      <c r="F2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45" s="1">
        <v>0</v>
      </c>
      <c r="H245" s="1">
        <v>0</v>
      </c>
      <c r="I245" s="1">
        <f>Tabela1[[#This Row],[Siblings and Spouses]]+Tabela1[[#This Row],[Parents and Children]]</f>
        <v>0</v>
      </c>
      <c r="J245" s="3">
        <v>79.2</v>
      </c>
      <c r="K2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45" s="2" t="s">
        <v>1318</v>
      </c>
    </row>
    <row r="246" spans="1:12" x14ac:dyDescent="0.25">
      <c r="A246" s="1" t="s">
        <v>1349</v>
      </c>
      <c r="B246" s="1" t="s">
        <v>1348</v>
      </c>
      <c r="C246" s="1" t="s">
        <v>244</v>
      </c>
      <c r="D246" s="1" t="s">
        <v>1321</v>
      </c>
      <c r="E246" s="1">
        <v>36</v>
      </c>
      <c r="F2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46" s="1">
        <v>0</v>
      </c>
      <c r="H246" s="1">
        <v>0</v>
      </c>
      <c r="I246" s="1">
        <f>Tabela1[[#This Row],[Siblings and Spouses]]+Tabela1[[#This Row],[Parents and Children]]</f>
        <v>0</v>
      </c>
      <c r="J246" s="3">
        <v>40.125</v>
      </c>
      <c r="K2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46" s="2" t="s">
        <v>1318</v>
      </c>
    </row>
    <row r="247" spans="1:12" x14ac:dyDescent="0.25">
      <c r="A247" s="1" t="s">
        <v>1349</v>
      </c>
      <c r="B247" s="1" t="s">
        <v>1337</v>
      </c>
      <c r="C247" s="1" t="s">
        <v>245</v>
      </c>
      <c r="D247" s="1" t="s">
        <v>1320</v>
      </c>
      <c r="E247" s="1">
        <v>33</v>
      </c>
      <c r="F2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47" s="1">
        <v>0</v>
      </c>
      <c r="H247" s="1">
        <v>0</v>
      </c>
      <c r="I247" s="1">
        <f>Tabela1[[#This Row],[Siblings and Spouses]]+Tabela1[[#This Row],[Parents and Children]]</f>
        <v>0</v>
      </c>
      <c r="J247" s="3">
        <v>86.5</v>
      </c>
      <c r="K2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47" s="2" t="s">
        <v>396</v>
      </c>
    </row>
    <row r="248" spans="1:12" x14ac:dyDescent="0.25">
      <c r="A248" s="1" t="s">
        <v>1349</v>
      </c>
      <c r="B248" s="1" t="s">
        <v>1348</v>
      </c>
      <c r="C248" s="1" t="s">
        <v>246</v>
      </c>
      <c r="D248" s="1" t="s">
        <v>1321</v>
      </c>
      <c r="E248" s="1">
        <v>55</v>
      </c>
      <c r="F2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48" s="1">
        <v>1</v>
      </c>
      <c r="H248" s="1">
        <v>0</v>
      </c>
      <c r="I248" s="1">
        <f>Tabela1[[#This Row],[Siblings and Spouses]]+Tabela1[[#This Row],[Parents and Children]]</f>
        <v>1</v>
      </c>
      <c r="J248" s="3">
        <v>59.4</v>
      </c>
      <c r="K2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48" s="2" t="s">
        <v>1318</v>
      </c>
    </row>
    <row r="249" spans="1:12" x14ac:dyDescent="0.25">
      <c r="A249" s="1" t="s">
        <v>1349</v>
      </c>
      <c r="B249" s="1" t="s">
        <v>1337</v>
      </c>
      <c r="C249" s="1" t="s">
        <v>247</v>
      </c>
      <c r="D249" s="1" t="s">
        <v>1320</v>
      </c>
      <c r="E249" s="1">
        <v>54</v>
      </c>
      <c r="F2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49" s="1">
        <v>1</v>
      </c>
      <c r="H249" s="1">
        <v>0</v>
      </c>
      <c r="I249" s="1">
        <f>Tabela1[[#This Row],[Siblings and Spouses]]+Tabela1[[#This Row],[Parents and Children]]</f>
        <v>1</v>
      </c>
      <c r="J249" s="3">
        <v>59.4</v>
      </c>
      <c r="K2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49" s="2" t="s">
        <v>1318</v>
      </c>
    </row>
    <row r="250" spans="1:12" x14ac:dyDescent="0.25">
      <c r="A250" s="1" t="s">
        <v>1349</v>
      </c>
      <c r="B250" s="1" t="s">
        <v>1348</v>
      </c>
      <c r="C250" s="1" t="s">
        <v>248</v>
      </c>
      <c r="D250" s="1" t="s">
        <v>1321</v>
      </c>
      <c r="E250" s="1">
        <v>33</v>
      </c>
      <c r="F2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50" s="1">
        <v>0</v>
      </c>
      <c r="H250" s="1">
        <v>0</v>
      </c>
      <c r="I250" s="1">
        <f>Tabela1[[#This Row],[Siblings and Spouses]]+Tabela1[[#This Row],[Parents and Children]]</f>
        <v>0</v>
      </c>
      <c r="J250" s="3">
        <v>26.55</v>
      </c>
      <c r="K2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50" s="2" t="s">
        <v>396</v>
      </c>
    </row>
    <row r="251" spans="1:12" x14ac:dyDescent="0.25">
      <c r="A251" s="1" t="s">
        <v>1349</v>
      </c>
      <c r="B251" s="1" t="s">
        <v>1337</v>
      </c>
      <c r="C251" s="1" t="s">
        <v>249</v>
      </c>
      <c r="D251" s="1" t="s">
        <v>1321</v>
      </c>
      <c r="E251" s="1">
        <v>13</v>
      </c>
      <c r="F2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51" s="1">
        <v>2</v>
      </c>
      <c r="H251" s="1">
        <v>2</v>
      </c>
      <c r="I251" s="1">
        <f>Tabela1[[#This Row],[Siblings and Spouses]]+Tabela1[[#This Row],[Parents and Children]]</f>
        <v>4</v>
      </c>
      <c r="J251" s="3">
        <v>262.375</v>
      </c>
      <c r="K2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51" s="2" t="s">
        <v>1318</v>
      </c>
    </row>
    <row r="252" spans="1:12" x14ac:dyDescent="0.25">
      <c r="A252" s="1" t="s">
        <v>1349</v>
      </c>
      <c r="B252" s="1" t="s">
        <v>1337</v>
      </c>
      <c r="C252" s="1" t="s">
        <v>250</v>
      </c>
      <c r="D252" s="1" t="s">
        <v>1320</v>
      </c>
      <c r="E252" s="1">
        <v>18</v>
      </c>
      <c r="F2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52" s="1">
        <v>2</v>
      </c>
      <c r="H252" s="1">
        <v>2</v>
      </c>
      <c r="I252" s="1">
        <f>Tabela1[[#This Row],[Siblings and Spouses]]+Tabela1[[#This Row],[Parents and Children]]</f>
        <v>4</v>
      </c>
      <c r="J252" s="3">
        <v>262.375</v>
      </c>
      <c r="K2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52" s="2" t="s">
        <v>1318</v>
      </c>
    </row>
    <row r="253" spans="1:12" x14ac:dyDescent="0.25">
      <c r="A253" s="1" t="s">
        <v>1349</v>
      </c>
      <c r="B253" s="1" t="s">
        <v>1337</v>
      </c>
      <c r="C253" s="1" t="s">
        <v>251</v>
      </c>
      <c r="D253" s="1" t="s">
        <v>1320</v>
      </c>
      <c r="E253" s="1">
        <v>21</v>
      </c>
      <c r="F2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53" s="1">
        <v>2</v>
      </c>
      <c r="H253" s="1">
        <v>2</v>
      </c>
      <c r="I253" s="1">
        <f>Tabela1[[#This Row],[Siblings and Spouses]]+Tabela1[[#This Row],[Parents and Children]]</f>
        <v>4</v>
      </c>
      <c r="J253" s="3">
        <v>262.375</v>
      </c>
      <c r="K2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53" s="2" t="s">
        <v>1318</v>
      </c>
    </row>
    <row r="254" spans="1:12" x14ac:dyDescent="0.25">
      <c r="A254" s="1" t="s">
        <v>1349</v>
      </c>
      <c r="B254" s="1" t="s">
        <v>1348</v>
      </c>
      <c r="C254" s="1" t="s">
        <v>252</v>
      </c>
      <c r="D254" s="1" t="s">
        <v>1321</v>
      </c>
      <c r="E254" s="1">
        <v>61</v>
      </c>
      <c r="F2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54" s="1">
        <v>1</v>
      </c>
      <c r="H254" s="1">
        <v>3</v>
      </c>
      <c r="I254" s="1">
        <f>Tabela1[[#This Row],[Siblings and Spouses]]+Tabela1[[#This Row],[Parents and Children]]</f>
        <v>4</v>
      </c>
      <c r="J254" s="3">
        <v>262.375</v>
      </c>
      <c r="K2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54" s="2" t="s">
        <v>1318</v>
      </c>
    </row>
    <row r="255" spans="1:12" x14ac:dyDescent="0.25">
      <c r="A255" s="1" t="s">
        <v>1349</v>
      </c>
      <c r="B255" s="1" t="s">
        <v>1337</v>
      </c>
      <c r="C255" s="1" t="s">
        <v>253</v>
      </c>
      <c r="D255" s="1" t="s">
        <v>1320</v>
      </c>
      <c r="E255" s="1">
        <v>48</v>
      </c>
      <c r="F2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55" s="1">
        <v>1</v>
      </c>
      <c r="H255" s="1">
        <v>3</v>
      </c>
      <c r="I255" s="1">
        <f>Tabela1[[#This Row],[Siblings and Spouses]]+Tabela1[[#This Row],[Parents and Children]]</f>
        <v>4</v>
      </c>
      <c r="J255" s="3">
        <v>262.375</v>
      </c>
      <c r="K2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55" s="2" t="s">
        <v>1318</v>
      </c>
    </row>
    <row r="256" spans="1:12" x14ac:dyDescent="0.25">
      <c r="A256" s="1" t="s">
        <v>1349</v>
      </c>
      <c r="B256" s="1" t="s">
        <v>1337</v>
      </c>
      <c r="C256" s="1" t="s">
        <v>254</v>
      </c>
      <c r="D256" s="1" t="s">
        <v>1321</v>
      </c>
      <c r="E256" s="1" t="s">
        <v>1323</v>
      </c>
      <c r="F2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56" s="1">
        <v>0</v>
      </c>
      <c r="H256" s="1">
        <v>0</v>
      </c>
      <c r="I256" s="1">
        <f>Tabela1[[#This Row],[Siblings and Spouses]]+Tabela1[[#This Row],[Parents and Children]]</f>
        <v>0</v>
      </c>
      <c r="J256" s="3">
        <v>30.5</v>
      </c>
      <c r="K2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56" s="2" t="s">
        <v>396</v>
      </c>
    </row>
    <row r="257" spans="1:12" x14ac:dyDescent="0.25">
      <c r="A257" s="1" t="s">
        <v>1349</v>
      </c>
      <c r="B257" s="1" t="s">
        <v>1337</v>
      </c>
      <c r="C257" s="1" t="s">
        <v>255</v>
      </c>
      <c r="D257" s="1" t="s">
        <v>1320</v>
      </c>
      <c r="E257" s="1">
        <v>24</v>
      </c>
      <c r="F2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57" s="1">
        <v>0</v>
      </c>
      <c r="H257" s="1">
        <v>0</v>
      </c>
      <c r="I257" s="1">
        <f>Tabela1[[#This Row],[Siblings and Spouses]]+Tabela1[[#This Row],[Parents and Children]]</f>
        <v>0</v>
      </c>
      <c r="J257" s="3">
        <v>69.3</v>
      </c>
      <c r="K2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57" s="2" t="s">
        <v>1318</v>
      </c>
    </row>
    <row r="258" spans="1:12" x14ac:dyDescent="0.25">
      <c r="A258" s="1" t="s">
        <v>1349</v>
      </c>
      <c r="B258" s="1" t="s">
        <v>1337</v>
      </c>
      <c r="C258" s="1" t="s">
        <v>256</v>
      </c>
      <c r="D258" s="1" t="s">
        <v>1321</v>
      </c>
      <c r="E258" s="1" t="s">
        <v>1323</v>
      </c>
      <c r="F2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58" s="1">
        <v>0</v>
      </c>
      <c r="H258" s="1">
        <v>0</v>
      </c>
      <c r="I258" s="1">
        <f>Tabela1[[#This Row],[Siblings and Spouses]]+Tabela1[[#This Row],[Parents and Children]]</f>
        <v>0</v>
      </c>
      <c r="J258" s="3">
        <v>26</v>
      </c>
      <c r="K2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58" s="2" t="s">
        <v>396</v>
      </c>
    </row>
    <row r="259" spans="1:12" x14ac:dyDescent="0.25">
      <c r="A259" s="1" t="s">
        <v>1349</v>
      </c>
      <c r="B259" s="1" t="s">
        <v>1337</v>
      </c>
      <c r="C259" s="1" t="s">
        <v>257</v>
      </c>
      <c r="D259" s="1" t="s">
        <v>1320</v>
      </c>
      <c r="E259" s="1">
        <v>35</v>
      </c>
      <c r="F2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59" s="1">
        <v>1</v>
      </c>
      <c r="H259" s="1">
        <v>0</v>
      </c>
      <c r="I259" s="1">
        <f>Tabela1[[#This Row],[Siblings and Spouses]]+Tabela1[[#This Row],[Parents and Children]]</f>
        <v>1</v>
      </c>
      <c r="J259" s="3">
        <v>57.75</v>
      </c>
      <c r="K2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59" s="2" t="s">
        <v>1318</v>
      </c>
    </row>
    <row r="260" spans="1:12" x14ac:dyDescent="0.25">
      <c r="A260" s="1" t="s">
        <v>1349</v>
      </c>
      <c r="B260" s="1" t="s">
        <v>1337</v>
      </c>
      <c r="C260" s="1" t="s">
        <v>258</v>
      </c>
      <c r="D260" s="1" t="s">
        <v>1320</v>
      </c>
      <c r="E260" s="1">
        <v>30</v>
      </c>
      <c r="F2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60" s="1">
        <v>0</v>
      </c>
      <c r="H260" s="1">
        <v>0</v>
      </c>
      <c r="I260" s="1">
        <f>Tabela1[[#This Row],[Siblings and Spouses]]+Tabela1[[#This Row],[Parents and Children]]</f>
        <v>0</v>
      </c>
      <c r="J260" s="3">
        <v>31</v>
      </c>
      <c r="K2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0" s="2" t="s">
        <v>1318</v>
      </c>
    </row>
    <row r="261" spans="1:12" x14ac:dyDescent="0.25">
      <c r="A261" s="1" t="s">
        <v>1349</v>
      </c>
      <c r="B261" s="1" t="s">
        <v>1337</v>
      </c>
      <c r="C261" s="1" t="s">
        <v>259</v>
      </c>
      <c r="D261" s="1" t="s">
        <v>1321</v>
      </c>
      <c r="E261" s="1">
        <v>34</v>
      </c>
      <c r="F2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61" s="1">
        <v>0</v>
      </c>
      <c r="H261" s="1">
        <v>0</v>
      </c>
      <c r="I261" s="1">
        <f>Tabela1[[#This Row],[Siblings and Spouses]]+Tabela1[[#This Row],[Parents and Children]]</f>
        <v>0</v>
      </c>
      <c r="J261" s="3">
        <v>26.55</v>
      </c>
      <c r="K2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1" s="2" t="s">
        <v>396</v>
      </c>
    </row>
    <row r="262" spans="1:12" x14ac:dyDescent="0.25">
      <c r="A262" s="1" t="s">
        <v>1349</v>
      </c>
      <c r="B262" s="1" t="s">
        <v>1337</v>
      </c>
      <c r="C262" s="1" t="s">
        <v>260</v>
      </c>
      <c r="D262" s="1" t="s">
        <v>1320</v>
      </c>
      <c r="E262" s="1">
        <v>40</v>
      </c>
      <c r="F2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62" s="1">
        <v>0</v>
      </c>
      <c r="H262" s="1">
        <v>0</v>
      </c>
      <c r="I262" s="1">
        <f>Tabela1[[#This Row],[Siblings and Spouses]]+Tabela1[[#This Row],[Parents and Children]]</f>
        <v>0</v>
      </c>
      <c r="J262" s="3">
        <v>153.46250000000001</v>
      </c>
      <c r="K2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262" s="2" t="s">
        <v>396</v>
      </c>
    </row>
    <row r="263" spans="1:12" x14ac:dyDescent="0.25">
      <c r="A263" s="1" t="s">
        <v>1349</v>
      </c>
      <c r="B263" s="1" t="s">
        <v>1337</v>
      </c>
      <c r="C263" s="1" t="s">
        <v>261</v>
      </c>
      <c r="D263" s="1" t="s">
        <v>1321</v>
      </c>
      <c r="E263" s="1">
        <v>35</v>
      </c>
      <c r="F2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63" s="1">
        <v>0</v>
      </c>
      <c r="H263" s="1">
        <v>0</v>
      </c>
      <c r="I263" s="1">
        <f>Tabela1[[#This Row],[Siblings and Spouses]]+Tabela1[[#This Row],[Parents and Children]]</f>
        <v>0</v>
      </c>
      <c r="J263" s="3">
        <v>26.287500000000001</v>
      </c>
      <c r="K2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3" s="2" t="s">
        <v>396</v>
      </c>
    </row>
    <row r="264" spans="1:12" x14ac:dyDescent="0.25">
      <c r="A264" s="1" t="s">
        <v>1349</v>
      </c>
      <c r="B264" s="1" t="s">
        <v>1348</v>
      </c>
      <c r="C264" s="1" t="s">
        <v>262</v>
      </c>
      <c r="D264" s="1" t="s">
        <v>1321</v>
      </c>
      <c r="E264" s="1">
        <v>50</v>
      </c>
      <c r="F2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64" s="1">
        <v>1</v>
      </c>
      <c r="H264" s="1">
        <v>0</v>
      </c>
      <c r="I264" s="1">
        <f>Tabela1[[#This Row],[Siblings and Spouses]]+Tabela1[[#This Row],[Parents and Children]]</f>
        <v>1</v>
      </c>
      <c r="J264" s="3">
        <v>55.9</v>
      </c>
      <c r="K2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64" s="2" t="s">
        <v>396</v>
      </c>
    </row>
    <row r="265" spans="1:12" x14ac:dyDescent="0.25">
      <c r="A265" s="1" t="s">
        <v>1349</v>
      </c>
      <c r="B265" s="1" t="s">
        <v>1337</v>
      </c>
      <c r="C265" s="1" t="s">
        <v>263</v>
      </c>
      <c r="D265" s="1" t="s">
        <v>1320</v>
      </c>
      <c r="E265" s="1">
        <v>39</v>
      </c>
      <c r="F2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65" s="1">
        <v>1</v>
      </c>
      <c r="H265" s="1">
        <v>0</v>
      </c>
      <c r="I265" s="1">
        <f>Tabela1[[#This Row],[Siblings and Spouses]]+Tabela1[[#This Row],[Parents and Children]]</f>
        <v>1</v>
      </c>
      <c r="J265" s="3">
        <v>55.9</v>
      </c>
      <c r="K2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65" s="2" t="s">
        <v>396</v>
      </c>
    </row>
    <row r="266" spans="1:12" x14ac:dyDescent="0.25">
      <c r="A266" s="1" t="s">
        <v>1349</v>
      </c>
      <c r="B266" s="1" t="s">
        <v>1337</v>
      </c>
      <c r="C266" s="1" t="s">
        <v>264</v>
      </c>
      <c r="D266" s="1" t="s">
        <v>1321</v>
      </c>
      <c r="E266" s="1">
        <v>56</v>
      </c>
      <c r="F2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66" s="1">
        <v>0</v>
      </c>
      <c r="H266" s="1">
        <v>0</v>
      </c>
      <c r="I266" s="1">
        <f>Tabela1[[#This Row],[Siblings and Spouses]]+Tabela1[[#This Row],[Parents and Children]]</f>
        <v>0</v>
      </c>
      <c r="J266" s="3">
        <v>35.5</v>
      </c>
      <c r="K2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6" s="2" t="s">
        <v>1318</v>
      </c>
    </row>
    <row r="267" spans="1:12" x14ac:dyDescent="0.25">
      <c r="A267" s="1" t="s">
        <v>1349</v>
      </c>
      <c r="B267" s="1" t="s">
        <v>1337</v>
      </c>
      <c r="C267" s="1" t="s">
        <v>265</v>
      </c>
      <c r="D267" s="1" t="s">
        <v>1321</v>
      </c>
      <c r="E267" s="1">
        <v>28</v>
      </c>
      <c r="F2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67" s="1">
        <v>0</v>
      </c>
      <c r="H267" s="1">
        <v>0</v>
      </c>
      <c r="I267" s="1">
        <f>Tabela1[[#This Row],[Siblings and Spouses]]+Tabela1[[#This Row],[Parents and Children]]</f>
        <v>0</v>
      </c>
      <c r="J267" s="3">
        <v>35.5</v>
      </c>
      <c r="K2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7" s="2" t="s">
        <v>396</v>
      </c>
    </row>
    <row r="268" spans="1:12" x14ac:dyDescent="0.25">
      <c r="A268" s="1" t="s">
        <v>1349</v>
      </c>
      <c r="B268" s="1" t="s">
        <v>1348</v>
      </c>
      <c r="C268" s="1" t="s">
        <v>266</v>
      </c>
      <c r="D268" s="1" t="s">
        <v>1321</v>
      </c>
      <c r="E268" s="1">
        <v>56</v>
      </c>
      <c r="F2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68" s="1">
        <v>0</v>
      </c>
      <c r="H268" s="1">
        <v>0</v>
      </c>
      <c r="I268" s="1">
        <f>Tabela1[[#This Row],[Siblings and Spouses]]+Tabela1[[#This Row],[Parents and Children]]</f>
        <v>0</v>
      </c>
      <c r="J268" s="3">
        <v>26.55</v>
      </c>
      <c r="K2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8" s="2" t="s">
        <v>396</v>
      </c>
    </row>
    <row r="269" spans="1:12" x14ac:dyDescent="0.25">
      <c r="A269" s="1" t="s">
        <v>1349</v>
      </c>
      <c r="B269" s="1" t="s">
        <v>1348</v>
      </c>
      <c r="C269" s="1" t="s">
        <v>267</v>
      </c>
      <c r="D269" s="1" t="s">
        <v>1321</v>
      </c>
      <c r="E269" s="1">
        <v>56</v>
      </c>
      <c r="F2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69" s="1">
        <v>0</v>
      </c>
      <c r="H269" s="1">
        <v>0</v>
      </c>
      <c r="I269" s="1">
        <f>Tabela1[[#This Row],[Siblings and Spouses]]+Tabela1[[#This Row],[Parents and Children]]</f>
        <v>0</v>
      </c>
      <c r="J269" s="3">
        <v>30.695799999999998</v>
      </c>
      <c r="K2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69" s="2" t="s">
        <v>1318</v>
      </c>
    </row>
    <row r="270" spans="1:12" x14ac:dyDescent="0.25">
      <c r="A270" s="1" t="s">
        <v>1349</v>
      </c>
      <c r="B270" s="1" t="s">
        <v>1348</v>
      </c>
      <c r="C270" s="1" t="s">
        <v>268</v>
      </c>
      <c r="D270" s="1" t="s">
        <v>1321</v>
      </c>
      <c r="E270" s="1">
        <v>24</v>
      </c>
      <c r="F2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70" s="1">
        <v>1</v>
      </c>
      <c r="H270" s="1">
        <v>0</v>
      </c>
      <c r="I270" s="1">
        <f>Tabela1[[#This Row],[Siblings and Spouses]]+Tabela1[[#This Row],[Parents and Children]]</f>
        <v>1</v>
      </c>
      <c r="J270" s="3">
        <v>60</v>
      </c>
      <c r="K2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70" s="2" t="s">
        <v>396</v>
      </c>
    </row>
    <row r="271" spans="1:12" x14ac:dyDescent="0.25">
      <c r="A271" s="1" t="s">
        <v>1349</v>
      </c>
      <c r="B271" s="1" t="s">
        <v>1348</v>
      </c>
      <c r="C271" s="1" t="s">
        <v>269</v>
      </c>
      <c r="D271" s="1" t="s">
        <v>1321</v>
      </c>
      <c r="E271" s="1" t="s">
        <v>1323</v>
      </c>
      <c r="F2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71" s="1">
        <v>0</v>
      </c>
      <c r="H271" s="1">
        <v>0</v>
      </c>
      <c r="I271" s="1">
        <f>Tabela1[[#This Row],[Siblings and Spouses]]+Tabela1[[#This Row],[Parents and Children]]</f>
        <v>0</v>
      </c>
      <c r="J271" s="3">
        <v>26</v>
      </c>
      <c r="K2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71" s="2" t="s">
        <v>396</v>
      </c>
    </row>
    <row r="272" spans="1:12" x14ac:dyDescent="0.25">
      <c r="A272" s="1" t="s">
        <v>1349</v>
      </c>
      <c r="B272" s="1" t="s">
        <v>1337</v>
      </c>
      <c r="C272" s="1" t="s">
        <v>270</v>
      </c>
      <c r="D272" s="1" t="s">
        <v>1320</v>
      </c>
      <c r="E272" s="1">
        <v>18</v>
      </c>
      <c r="F2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72" s="1">
        <v>1</v>
      </c>
      <c r="H272" s="1">
        <v>0</v>
      </c>
      <c r="I272" s="1">
        <f>Tabela1[[#This Row],[Siblings and Spouses]]+Tabela1[[#This Row],[Parents and Children]]</f>
        <v>1</v>
      </c>
      <c r="J272" s="3">
        <v>60</v>
      </c>
      <c r="K2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72" s="2" t="s">
        <v>396</v>
      </c>
    </row>
    <row r="273" spans="1:12" x14ac:dyDescent="0.25">
      <c r="A273" s="1" t="s">
        <v>1349</v>
      </c>
      <c r="B273" s="1" t="s">
        <v>1337</v>
      </c>
      <c r="C273" s="1" t="s">
        <v>271</v>
      </c>
      <c r="D273" s="1" t="s">
        <v>1321</v>
      </c>
      <c r="E273" s="1">
        <v>24</v>
      </c>
      <c r="F2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73" s="1">
        <v>1</v>
      </c>
      <c r="H273" s="1">
        <v>0</v>
      </c>
      <c r="I273" s="1">
        <f>Tabela1[[#This Row],[Siblings and Spouses]]+Tabela1[[#This Row],[Parents and Children]]</f>
        <v>1</v>
      </c>
      <c r="J273" s="3">
        <v>82.2667</v>
      </c>
      <c r="K2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73" s="2" t="s">
        <v>396</v>
      </c>
    </row>
    <row r="274" spans="1:12" x14ac:dyDescent="0.25">
      <c r="A274" s="1" t="s">
        <v>1349</v>
      </c>
      <c r="B274" s="1" t="s">
        <v>1337</v>
      </c>
      <c r="C274" s="1" t="s">
        <v>272</v>
      </c>
      <c r="D274" s="1" t="s">
        <v>1320</v>
      </c>
      <c r="E274" s="1">
        <v>23</v>
      </c>
      <c r="F2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274" s="1">
        <v>1</v>
      </c>
      <c r="H274" s="1">
        <v>0</v>
      </c>
      <c r="I274" s="1">
        <f>Tabela1[[#This Row],[Siblings and Spouses]]+Tabela1[[#This Row],[Parents and Children]]</f>
        <v>1</v>
      </c>
      <c r="J274" s="3">
        <v>82.2667</v>
      </c>
      <c r="K2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74" s="2" t="s">
        <v>396</v>
      </c>
    </row>
    <row r="275" spans="1:12" x14ac:dyDescent="0.25">
      <c r="A275" s="1" t="s">
        <v>1349</v>
      </c>
      <c r="B275" s="1" t="s">
        <v>1337</v>
      </c>
      <c r="C275" s="1" t="s">
        <v>273</v>
      </c>
      <c r="D275" s="1" t="s">
        <v>1321</v>
      </c>
      <c r="E275" s="1">
        <v>6</v>
      </c>
      <c r="F2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75" s="1">
        <v>0</v>
      </c>
      <c r="H275" s="1">
        <v>2</v>
      </c>
      <c r="I275" s="1">
        <f>Tabela1[[#This Row],[Siblings and Spouses]]+Tabela1[[#This Row],[Parents and Children]]</f>
        <v>2</v>
      </c>
      <c r="J275" s="3">
        <v>134.5</v>
      </c>
      <c r="K2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75" s="2" t="s">
        <v>1318</v>
      </c>
    </row>
    <row r="276" spans="1:12" x14ac:dyDescent="0.25">
      <c r="A276" s="1" t="s">
        <v>1349</v>
      </c>
      <c r="B276" s="1" t="s">
        <v>1337</v>
      </c>
      <c r="C276" s="1" t="s">
        <v>274</v>
      </c>
      <c r="D276" s="1" t="s">
        <v>1321</v>
      </c>
      <c r="E276" s="1">
        <v>45</v>
      </c>
      <c r="F2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76" s="1">
        <v>1</v>
      </c>
      <c r="H276" s="1">
        <v>1</v>
      </c>
      <c r="I276" s="1">
        <f>Tabela1[[#This Row],[Siblings and Spouses]]+Tabela1[[#This Row],[Parents and Children]]</f>
        <v>2</v>
      </c>
      <c r="J276" s="3">
        <v>134.5</v>
      </c>
      <c r="K2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76" s="2" t="s">
        <v>1318</v>
      </c>
    </row>
    <row r="277" spans="1:12" x14ac:dyDescent="0.25">
      <c r="A277" s="1" t="s">
        <v>1349</v>
      </c>
      <c r="B277" s="1" t="s">
        <v>1337</v>
      </c>
      <c r="C277" s="1" t="s">
        <v>275</v>
      </c>
      <c r="D277" s="1" t="s">
        <v>1320</v>
      </c>
      <c r="E277" s="1">
        <v>40</v>
      </c>
      <c r="F2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77" s="1">
        <v>1</v>
      </c>
      <c r="H277" s="1">
        <v>1</v>
      </c>
      <c r="I277" s="1">
        <f>Tabela1[[#This Row],[Siblings and Spouses]]+Tabela1[[#This Row],[Parents and Children]]</f>
        <v>2</v>
      </c>
      <c r="J277" s="3">
        <v>134.5</v>
      </c>
      <c r="K2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77" s="2" t="s">
        <v>1318</v>
      </c>
    </row>
    <row r="278" spans="1:12" x14ac:dyDescent="0.25">
      <c r="A278" s="1" t="s">
        <v>1349</v>
      </c>
      <c r="B278" s="1" t="s">
        <v>1348</v>
      </c>
      <c r="C278" s="1" t="s">
        <v>276</v>
      </c>
      <c r="D278" s="1" t="s">
        <v>1321</v>
      </c>
      <c r="E278" s="1">
        <v>57</v>
      </c>
      <c r="F2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78" s="1">
        <v>1</v>
      </c>
      <c r="H278" s="1">
        <v>0</v>
      </c>
      <c r="I278" s="1">
        <f>Tabela1[[#This Row],[Siblings and Spouses]]+Tabela1[[#This Row],[Parents and Children]]</f>
        <v>1</v>
      </c>
      <c r="J278" s="3">
        <v>146.52080000000001</v>
      </c>
      <c r="K2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78" s="2" t="s">
        <v>1318</v>
      </c>
    </row>
    <row r="279" spans="1:12" x14ac:dyDescent="0.25">
      <c r="A279" s="1" t="s">
        <v>1349</v>
      </c>
      <c r="B279" s="1" t="s">
        <v>1337</v>
      </c>
      <c r="C279" s="1" t="s">
        <v>277</v>
      </c>
      <c r="D279" s="1" t="s">
        <v>1320</v>
      </c>
      <c r="E279" s="1" t="s">
        <v>1323</v>
      </c>
      <c r="F2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79" s="1">
        <v>1</v>
      </c>
      <c r="H279" s="1">
        <v>0</v>
      </c>
      <c r="I279" s="1">
        <f>Tabela1[[#This Row],[Siblings and Spouses]]+Tabela1[[#This Row],[Parents and Children]]</f>
        <v>1</v>
      </c>
      <c r="J279" s="3">
        <v>146.52080000000001</v>
      </c>
      <c r="K2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79" s="2" t="s">
        <v>1318</v>
      </c>
    </row>
    <row r="280" spans="1:12" x14ac:dyDescent="0.25">
      <c r="A280" s="1" t="s">
        <v>1349</v>
      </c>
      <c r="B280" s="1" t="s">
        <v>1337</v>
      </c>
      <c r="C280" s="1" t="s">
        <v>278</v>
      </c>
      <c r="D280" s="1" t="s">
        <v>1321</v>
      </c>
      <c r="E280" s="1">
        <v>32</v>
      </c>
      <c r="F2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80" s="1">
        <v>0</v>
      </c>
      <c r="H280" s="1">
        <v>0</v>
      </c>
      <c r="I280" s="1">
        <f>Tabela1[[#This Row],[Siblings and Spouses]]+Tabela1[[#This Row],[Parents and Children]]</f>
        <v>0</v>
      </c>
      <c r="J280" s="3">
        <v>30.5</v>
      </c>
      <c r="K2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80" s="2" t="s">
        <v>1318</v>
      </c>
    </row>
    <row r="281" spans="1:12" x14ac:dyDescent="0.25">
      <c r="A281" s="1" t="s">
        <v>1349</v>
      </c>
      <c r="B281" s="1" t="s">
        <v>1348</v>
      </c>
      <c r="C281" s="1" t="s">
        <v>279</v>
      </c>
      <c r="D281" s="1" t="s">
        <v>1321</v>
      </c>
      <c r="E281" s="1">
        <v>62</v>
      </c>
      <c r="F2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81" s="1">
        <v>0</v>
      </c>
      <c r="H281" s="1">
        <v>0</v>
      </c>
      <c r="I281" s="1">
        <f>Tabela1[[#This Row],[Siblings and Spouses]]+Tabela1[[#This Row],[Parents and Children]]</f>
        <v>0</v>
      </c>
      <c r="J281" s="3">
        <v>26.55</v>
      </c>
      <c r="K2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81" s="2" t="s">
        <v>396</v>
      </c>
    </row>
    <row r="282" spans="1:12" x14ac:dyDescent="0.25">
      <c r="A282" s="1" t="s">
        <v>1349</v>
      </c>
      <c r="B282" s="1" t="s">
        <v>1337</v>
      </c>
      <c r="C282" s="1" t="s">
        <v>280</v>
      </c>
      <c r="D282" s="1" t="s">
        <v>1321</v>
      </c>
      <c r="E282" s="1">
        <v>54</v>
      </c>
      <c r="F2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82" s="1">
        <v>1</v>
      </c>
      <c r="H282" s="1">
        <v>0</v>
      </c>
      <c r="I282" s="1">
        <f>Tabela1[[#This Row],[Siblings and Spouses]]+Tabela1[[#This Row],[Parents and Children]]</f>
        <v>1</v>
      </c>
      <c r="J282" s="3">
        <v>55.441699999999997</v>
      </c>
      <c r="K2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82" s="2" t="s">
        <v>1318</v>
      </c>
    </row>
    <row r="283" spans="1:12" x14ac:dyDescent="0.25">
      <c r="A283" s="1" t="s">
        <v>1349</v>
      </c>
      <c r="B283" s="1" t="s">
        <v>1337</v>
      </c>
      <c r="C283" s="1" t="s">
        <v>281</v>
      </c>
      <c r="D283" s="1" t="s">
        <v>1320</v>
      </c>
      <c r="E283" s="1">
        <v>43</v>
      </c>
      <c r="F2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83" s="1">
        <v>1</v>
      </c>
      <c r="H283" s="1">
        <v>0</v>
      </c>
      <c r="I283" s="1">
        <f>Tabela1[[#This Row],[Siblings and Spouses]]+Tabela1[[#This Row],[Parents and Children]]</f>
        <v>1</v>
      </c>
      <c r="J283" s="3">
        <v>55.441699999999997</v>
      </c>
      <c r="K2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83" s="2" t="s">
        <v>1318</v>
      </c>
    </row>
    <row r="284" spans="1:12" x14ac:dyDescent="0.25">
      <c r="A284" s="1" t="s">
        <v>1349</v>
      </c>
      <c r="B284" s="1" t="s">
        <v>1337</v>
      </c>
      <c r="C284" s="1" t="s">
        <v>282</v>
      </c>
      <c r="D284" s="1" t="s">
        <v>1320</v>
      </c>
      <c r="E284" s="1">
        <v>52</v>
      </c>
      <c r="F2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84" s="1">
        <v>1</v>
      </c>
      <c r="H284" s="1">
        <v>0</v>
      </c>
      <c r="I284" s="1">
        <f>Tabela1[[#This Row],[Siblings and Spouses]]+Tabela1[[#This Row],[Parents and Children]]</f>
        <v>1</v>
      </c>
      <c r="J284" s="3">
        <v>78.2667</v>
      </c>
      <c r="K2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84" s="2" t="s">
        <v>1318</v>
      </c>
    </row>
    <row r="285" spans="1:12" x14ac:dyDescent="0.25">
      <c r="A285" s="1" t="s">
        <v>1349</v>
      </c>
      <c r="B285" s="1" t="s">
        <v>1348</v>
      </c>
      <c r="C285" s="1" t="s">
        <v>283</v>
      </c>
      <c r="D285" s="1" t="s">
        <v>1321</v>
      </c>
      <c r="E285" s="1" t="s">
        <v>1323</v>
      </c>
      <c r="F2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85" s="1">
        <v>0</v>
      </c>
      <c r="H285" s="1">
        <v>0</v>
      </c>
      <c r="I285" s="1">
        <f>Tabela1[[#This Row],[Siblings and Spouses]]+Tabela1[[#This Row],[Parents and Children]]</f>
        <v>0</v>
      </c>
      <c r="J285" s="3">
        <v>27.720800000000001</v>
      </c>
      <c r="K2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85" s="2" t="s">
        <v>1318</v>
      </c>
    </row>
    <row r="286" spans="1:12" x14ac:dyDescent="0.25">
      <c r="A286" s="1" t="s">
        <v>1349</v>
      </c>
      <c r="B286" s="1" t="s">
        <v>1337</v>
      </c>
      <c r="C286" s="1" t="s">
        <v>284</v>
      </c>
      <c r="D286" s="1" t="s">
        <v>1320</v>
      </c>
      <c r="E286" s="1">
        <v>62</v>
      </c>
      <c r="F2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86" s="1">
        <v>0</v>
      </c>
      <c r="H286" s="1">
        <v>0</v>
      </c>
      <c r="I286" s="1">
        <f>Tabela1[[#This Row],[Siblings and Spouses]]+Tabela1[[#This Row],[Parents and Children]]</f>
        <v>0</v>
      </c>
      <c r="J286" s="3">
        <v>80</v>
      </c>
      <c r="K2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86" s="2" t="s">
        <v>1323</v>
      </c>
    </row>
    <row r="287" spans="1:12" x14ac:dyDescent="0.25">
      <c r="A287" s="1" t="s">
        <v>1349</v>
      </c>
      <c r="B287" s="1" t="s">
        <v>1348</v>
      </c>
      <c r="C287" s="1" t="s">
        <v>285</v>
      </c>
      <c r="D287" s="1" t="s">
        <v>1321</v>
      </c>
      <c r="E287" s="1">
        <v>67</v>
      </c>
      <c r="F2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87" s="1">
        <v>1</v>
      </c>
      <c r="H287" s="1">
        <v>0</v>
      </c>
      <c r="I287" s="1">
        <f>Tabela1[[#This Row],[Siblings and Spouses]]+Tabela1[[#This Row],[Parents and Children]]</f>
        <v>1</v>
      </c>
      <c r="J287" s="3">
        <v>221.7792</v>
      </c>
      <c r="K2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87" s="2" t="s">
        <v>396</v>
      </c>
    </row>
    <row r="288" spans="1:12" x14ac:dyDescent="0.25">
      <c r="A288" s="1" t="s">
        <v>1349</v>
      </c>
      <c r="B288" s="1" t="s">
        <v>1348</v>
      </c>
      <c r="C288" s="1" t="s">
        <v>286</v>
      </c>
      <c r="D288" s="1" t="s">
        <v>1320</v>
      </c>
      <c r="E288" s="1">
        <v>63</v>
      </c>
      <c r="F2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88" s="1">
        <v>1</v>
      </c>
      <c r="H288" s="1">
        <v>0</v>
      </c>
      <c r="I288" s="1">
        <f>Tabela1[[#This Row],[Siblings and Spouses]]+Tabela1[[#This Row],[Parents and Children]]</f>
        <v>1</v>
      </c>
      <c r="J288" s="3">
        <v>221.7792</v>
      </c>
      <c r="K2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288" s="2" t="s">
        <v>396</v>
      </c>
    </row>
    <row r="289" spans="1:12" x14ac:dyDescent="0.25">
      <c r="A289" s="1" t="s">
        <v>1349</v>
      </c>
      <c r="B289" s="1" t="s">
        <v>1348</v>
      </c>
      <c r="C289" s="1" t="s">
        <v>287</v>
      </c>
      <c r="D289" s="1" t="s">
        <v>1321</v>
      </c>
      <c r="E289" s="1">
        <v>61</v>
      </c>
      <c r="F2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289" s="1">
        <v>0</v>
      </c>
      <c r="H289" s="1">
        <v>0</v>
      </c>
      <c r="I289" s="1">
        <f>Tabela1[[#This Row],[Siblings and Spouses]]+Tabela1[[#This Row],[Parents and Children]]</f>
        <v>0</v>
      </c>
      <c r="J289" s="3">
        <v>32.320799999999998</v>
      </c>
      <c r="K2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289" s="2" t="s">
        <v>396</v>
      </c>
    </row>
    <row r="290" spans="1:12" x14ac:dyDescent="0.25">
      <c r="A290" s="1" t="s">
        <v>1349</v>
      </c>
      <c r="B290" s="1" t="s">
        <v>1337</v>
      </c>
      <c r="C290" s="1" t="s">
        <v>288</v>
      </c>
      <c r="D290" s="1" t="s">
        <v>1320</v>
      </c>
      <c r="E290" s="1">
        <v>48</v>
      </c>
      <c r="F2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90" s="1">
        <v>0</v>
      </c>
      <c r="H290" s="1">
        <v>0</v>
      </c>
      <c r="I290" s="1">
        <f>Tabela1[[#This Row],[Siblings and Spouses]]+Tabela1[[#This Row],[Parents and Children]]</f>
        <v>0</v>
      </c>
      <c r="J290" s="3">
        <v>25.929200000000002</v>
      </c>
      <c r="K2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290" s="2" t="s">
        <v>396</v>
      </c>
    </row>
    <row r="291" spans="1:12" x14ac:dyDescent="0.25">
      <c r="A291" s="1" t="s">
        <v>1349</v>
      </c>
      <c r="B291" s="1" t="s">
        <v>1337</v>
      </c>
      <c r="C291" s="1" t="s">
        <v>289</v>
      </c>
      <c r="D291" s="1" t="s">
        <v>1320</v>
      </c>
      <c r="E291" s="1">
        <v>18</v>
      </c>
      <c r="F2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91" s="1">
        <v>0</v>
      </c>
      <c r="H291" s="1">
        <v>2</v>
      </c>
      <c r="I291" s="1">
        <f>Tabela1[[#This Row],[Siblings and Spouses]]+Tabela1[[#This Row],[Parents and Children]]</f>
        <v>2</v>
      </c>
      <c r="J291" s="3">
        <v>79.650000000000006</v>
      </c>
      <c r="K2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1" s="2" t="s">
        <v>396</v>
      </c>
    </row>
    <row r="292" spans="1:12" x14ac:dyDescent="0.25">
      <c r="A292" s="1" t="s">
        <v>1349</v>
      </c>
      <c r="B292" s="1" t="s">
        <v>1348</v>
      </c>
      <c r="C292" s="1" t="s">
        <v>290</v>
      </c>
      <c r="D292" s="1" t="s">
        <v>1321</v>
      </c>
      <c r="E292" s="1">
        <v>52</v>
      </c>
      <c r="F2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292" s="1">
        <v>1</v>
      </c>
      <c r="H292" s="1">
        <v>1</v>
      </c>
      <c r="I292" s="1">
        <f>Tabela1[[#This Row],[Siblings and Spouses]]+Tabela1[[#This Row],[Parents and Children]]</f>
        <v>2</v>
      </c>
      <c r="J292" s="3">
        <v>79.650000000000006</v>
      </c>
      <c r="K2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2" s="2" t="s">
        <v>396</v>
      </c>
    </row>
    <row r="293" spans="1:12" x14ac:dyDescent="0.25">
      <c r="A293" s="1" t="s">
        <v>1349</v>
      </c>
      <c r="B293" s="1" t="s">
        <v>1337</v>
      </c>
      <c r="C293" s="1" t="s">
        <v>291</v>
      </c>
      <c r="D293" s="1" t="s">
        <v>1320</v>
      </c>
      <c r="E293" s="1">
        <v>39</v>
      </c>
      <c r="F2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93" s="1">
        <v>1</v>
      </c>
      <c r="H293" s="1">
        <v>1</v>
      </c>
      <c r="I293" s="1">
        <f>Tabela1[[#This Row],[Siblings and Spouses]]+Tabela1[[#This Row],[Parents and Children]]</f>
        <v>2</v>
      </c>
      <c r="J293" s="3">
        <v>79.650000000000006</v>
      </c>
      <c r="K2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3" s="2" t="s">
        <v>396</v>
      </c>
    </row>
    <row r="294" spans="1:12" x14ac:dyDescent="0.25">
      <c r="A294" s="1" t="s">
        <v>1349</v>
      </c>
      <c r="B294" s="1" t="s">
        <v>1337</v>
      </c>
      <c r="C294" s="1" t="s">
        <v>292</v>
      </c>
      <c r="D294" s="1" t="s">
        <v>1321</v>
      </c>
      <c r="E294" s="1">
        <v>48</v>
      </c>
      <c r="F2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94" s="1">
        <v>1</v>
      </c>
      <c r="H294" s="1">
        <v>0</v>
      </c>
      <c r="I294" s="1">
        <f>Tabela1[[#This Row],[Siblings and Spouses]]+Tabela1[[#This Row],[Parents and Children]]</f>
        <v>1</v>
      </c>
      <c r="J294" s="3">
        <v>52</v>
      </c>
      <c r="K2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4" s="2" t="s">
        <v>396</v>
      </c>
    </row>
    <row r="295" spans="1:12" x14ac:dyDescent="0.25">
      <c r="A295" s="1" t="s">
        <v>1349</v>
      </c>
      <c r="B295" s="1" t="s">
        <v>1337</v>
      </c>
      <c r="C295" s="1" t="s">
        <v>293</v>
      </c>
      <c r="D295" s="1" t="s">
        <v>1320</v>
      </c>
      <c r="E295" s="1" t="s">
        <v>1323</v>
      </c>
      <c r="F2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95" s="1">
        <v>1</v>
      </c>
      <c r="H295" s="1">
        <v>0</v>
      </c>
      <c r="I295" s="1">
        <f>Tabela1[[#This Row],[Siblings and Spouses]]+Tabela1[[#This Row],[Parents and Children]]</f>
        <v>1</v>
      </c>
      <c r="J295" s="3">
        <v>52</v>
      </c>
      <c r="K2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5" s="2" t="s">
        <v>396</v>
      </c>
    </row>
    <row r="296" spans="1:12" x14ac:dyDescent="0.25">
      <c r="A296" s="1" t="s">
        <v>1349</v>
      </c>
      <c r="B296" s="1" t="s">
        <v>1348</v>
      </c>
      <c r="C296" s="1" t="s">
        <v>294</v>
      </c>
      <c r="D296" s="1" t="s">
        <v>1321</v>
      </c>
      <c r="E296" s="1">
        <v>49</v>
      </c>
      <c r="F2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296" s="1">
        <v>1</v>
      </c>
      <c r="H296" s="1">
        <v>1</v>
      </c>
      <c r="I296" s="1">
        <f>Tabela1[[#This Row],[Siblings and Spouses]]+Tabela1[[#This Row],[Parents and Children]]</f>
        <v>2</v>
      </c>
      <c r="J296" s="3">
        <v>110.88330000000001</v>
      </c>
      <c r="K2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96" s="2" t="s">
        <v>1318</v>
      </c>
    </row>
    <row r="297" spans="1:12" x14ac:dyDescent="0.25">
      <c r="A297" s="1" t="s">
        <v>1349</v>
      </c>
      <c r="B297" s="1" t="s">
        <v>1337</v>
      </c>
      <c r="C297" s="1" t="s">
        <v>295</v>
      </c>
      <c r="D297" s="1" t="s">
        <v>1321</v>
      </c>
      <c r="E297" s="1">
        <v>17</v>
      </c>
      <c r="F2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297" s="1">
        <v>0</v>
      </c>
      <c r="H297" s="1">
        <v>2</v>
      </c>
      <c r="I297" s="1">
        <f>Tabela1[[#This Row],[Siblings and Spouses]]+Tabela1[[#This Row],[Parents and Children]]</f>
        <v>2</v>
      </c>
      <c r="J297" s="3">
        <v>110.88330000000001</v>
      </c>
      <c r="K2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97" s="2" t="s">
        <v>1318</v>
      </c>
    </row>
    <row r="298" spans="1:12" x14ac:dyDescent="0.25">
      <c r="A298" s="1" t="s">
        <v>1349</v>
      </c>
      <c r="B298" s="1" t="s">
        <v>1337</v>
      </c>
      <c r="C298" s="1" t="s">
        <v>296</v>
      </c>
      <c r="D298" s="1" t="s">
        <v>1320</v>
      </c>
      <c r="E298" s="1">
        <v>39</v>
      </c>
      <c r="F2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298" s="1">
        <v>1</v>
      </c>
      <c r="H298" s="1">
        <v>1</v>
      </c>
      <c r="I298" s="1">
        <f>Tabela1[[#This Row],[Siblings and Spouses]]+Tabela1[[#This Row],[Parents and Children]]</f>
        <v>2</v>
      </c>
      <c r="J298" s="3">
        <v>110.88330000000001</v>
      </c>
      <c r="K2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298" s="2" t="s">
        <v>1318</v>
      </c>
    </row>
    <row r="299" spans="1:12" x14ac:dyDescent="0.25">
      <c r="A299" s="1" t="s">
        <v>1349</v>
      </c>
      <c r="B299" s="1" t="s">
        <v>1337</v>
      </c>
      <c r="C299" s="1" t="s">
        <v>297</v>
      </c>
      <c r="D299" s="1" t="s">
        <v>1320</v>
      </c>
      <c r="E299" s="1" t="s">
        <v>1323</v>
      </c>
      <c r="F2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299" s="1">
        <v>0</v>
      </c>
      <c r="H299" s="1">
        <v>0</v>
      </c>
      <c r="I299" s="1">
        <f>Tabela1[[#This Row],[Siblings and Spouses]]+Tabela1[[#This Row],[Parents and Children]]</f>
        <v>0</v>
      </c>
      <c r="J299" s="3">
        <v>79.2</v>
      </c>
      <c r="K2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299" s="2" t="s">
        <v>1318</v>
      </c>
    </row>
    <row r="300" spans="1:12" x14ac:dyDescent="0.25">
      <c r="A300" s="1" t="s">
        <v>1349</v>
      </c>
      <c r="B300" s="1" t="s">
        <v>1337</v>
      </c>
      <c r="C300" s="1" t="s">
        <v>298</v>
      </c>
      <c r="D300" s="1" t="s">
        <v>1321</v>
      </c>
      <c r="E300" s="1">
        <v>31</v>
      </c>
      <c r="F3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00" s="1">
        <v>0</v>
      </c>
      <c r="H300" s="1">
        <v>0</v>
      </c>
      <c r="I300" s="1">
        <f>Tabela1[[#This Row],[Siblings and Spouses]]+Tabela1[[#This Row],[Parents and Children]]</f>
        <v>0</v>
      </c>
      <c r="J300" s="3">
        <v>28.537500000000001</v>
      </c>
      <c r="K3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00" s="2" t="s">
        <v>1318</v>
      </c>
    </row>
    <row r="301" spans="1:12" x14ac:dyDescent="0.25">
      <c r="A301" s="1" t="s">
        <v>1349</v>
      </c>
      <c r="B301" s="1" t="s">
        <v>1348</v>
      </c>
      <c r="C301" s="1" t="s">
        <v>299</v>
      </c>
      <c r="D301" s="1" t="s">
        <v>1321</v>
      </c>
      <c r="E301" s="1">
        <v>40</v>
      </c>
      <c r="F3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01" s="1">
        <v>0</v>
      </c>
      <c r="H301" s="1">
        <v>0</v>
      </c>
      <c r="I301" s="1">
        <f>Tabela1[[#This Row],[Siblings and Spouses]]+Tabela1[[#This Row],[Parents and Children]]</f>
        <v>0</v>
      </c>
      <c r="J301" s="3">
        <v>27.720800000000001</v>
      </c>
      <c r="K3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01" s="2" t="s">
        <v>1318</v>
      </c>
    </row>
    <row r="302" spans="1:12" x14ac:dyDescent="0.25">
      <c r="A302" s="1" t="s">
        <v>1349</v>
      </c>
      <c r="B302" s="1" t="s">
        <v>1348</v>
      </c>
      <c r="C302" s="1" t="s">
        <v>300</v>
      </c>
      <c r="D302" s="1" t="s">
        <v>1321</v>
      </c>
      <c r="E302" s="1">
        <v>61</v>
      </c>
      <c r="F3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302" s="1">
        <v>0</v>
      </c>
      <c r="H302" s="1">
        <v>0</v>
      </c>
      <c r="I302" s="1">
        <f>Tabela1[[#This Row],[Siblings and Spouses]]+Tabela1[[#This Row],[Parents and Children]]</f>
        <v>0</v>
      </c>
      <c r="J302" s="3">
        <v>33.5</v>
      </c>
      <c r="K3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02" s="2" t="s">
        <v>396</v>
      </c>
    </row>
    <row r="303" spans="1:12" x14ac:dyDescent="0.25">
      <c r="A303" s="1" t="s">
        <v>1349</v>
      </c>
      <c r="B303" s="1" t="s">
        <v>1348</v>
      </c>
      <c r="C303" s="1" t="s">
        <v>301</v>
      </c>
      <c r="D303" s="1" t="s">
        <v>1321</v>
      </c>
      <c r="E303" s="1">
        <v>47</v>
      </c>
      <c r="F3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03" s="1">
        <v>0</v>
      </c>
      <c r="H303" s="1">
        <v>0</v>
      </c>
      <c r="I303" s="1">
        <f>Tabela1[[#This Row],[Siblings and Spouses]]+Tabela1[[#This Row],[Parents and Children]]</f>
        <v>0</v>
      </c>
      <c r="J303" s="3">
        <v>34.020800000000001</v>
      </c>
      <c r="K3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03" s="2" t="s">
        <v>396</v>
      </c>
    </row>
    <row r="304" spans="1:12" x14ac:dyDescent="0.25">
      <c r="A304" s="1" t="s">
        <v>1349</v>
      </c>
      <c r="B304" s="1" t="s">
        <v>1337</v>
      </c>
      <c r="C304" s="1" t="s">
        <v>302</v>
      </c>
      <c r="D304" s="1" t="s">
        <v>1320</v>
      </c>
      <c r="E304" s="1">
        <v>35</v>
      </c>
      <c r="F3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04" s="1">
        <v>0</v>
      </c>
      <c r="H304" s="1">
        <v>0</v>
      </c>
      <c r="I304" s="1">
        <f>Tabela1[[#This Row],[Siblings and Spouses]]+Tabela1[[#This Row],[Parents and Children]]</f>
        <v>0</v>
      </c>
      <c r="J304" s="3">
        <v>512.32920000000001</v>
      </c>
      <c r="K3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304" s="2" t="s">
        <v>1318</v>
      </c>
    </row>
    <row r="305" spans="1:12" x14ac:dyDescent="0.25">
      <c r="A305" s="1" t="s">
        <v>1349</v>
      </c>
      <c r="B305" s="1" t="s">
        <v>1348</v>
      </c>
      <c r="C305" s="1" t="s">
        <v>303</v>
      </c>
      <c r="D305" s="1" t="s">
        <v>1321</v>
      </c>
      <c r="E305" s="1">
        <v>64</v>
      </c>
      <c r="F3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305" s="1">
        <v>1</v>
      </c>
      <c r="H305" s="1">
        <v>0</v>
      </c>
      <c r="I305" s="1">
        <f>Tabela1[[#This Row],[Siblings and Spouses]]+Tabela1[[#This Row],[Parents and Children]]</f>
        <v>1</v>
      </c>
      <c r="J305" s="3">
        <v>75.25</v>
      </c>
      <c r="K3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05" s="2" t="s">
        <v>1318</v>
      </c>
    </row>
    <row r="306" spans="1:12" x14ac:dyDescent="0.25">
      <c r="A306" s="1" t="s">
        <v>1349</v>
      </c>
      <c r="B306" s="1" t="s">
        <v>1337</v>
      </c>
      <c r="C306" s="1" t="s">
        <v>304</v>
      </c>
      <c r="D306" s="1" t="s">
        <v>1320</v>
      </c>
      <c r="E306" s="1">
        <v>60</v>
      </c>
      <c r="F3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06" s="1">
        <v>1</v>
      </c>
      <c r="H306" s="1">
        <v>0</v>
      </c>
      <c r="I306" s="1">
        <f>Tabela1[[#This Row],[Siblings and Spouses]]+Tabela1[[#This Row],[Parents and Children]]</f>
        <v>1</v>
      </c>
      <c r="J306" s="3">
        <v>75.25</v>
      </c>
      <c r="K3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06" s="2" t="s">
        <v>1318</v>
      </c>
    </row>
    <row r="307" spans="1:12" x14ac:dyDescent="0.25">
      <c r="A307" s="1" t="s">
        <v>1349</v>
      </c>
      <c r="B307" s="1" t="s">
        <v>1348</v>
      </c>
      <c r="C307" s="1" t="s">
        <v>305</v>
      </c>
      <c r="D307" s="1" t="s">
        <v>1321</v>
      </c>
      <c r="E307" s="1">
        <v>60</v>
      </c>
      <c r="F3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07" s="1">
        <v>0</v>
      </c>
      <c r="H307" s="1">
        <v>0</v>
      </c>
      <c r="I307" s="1">
        <f>Tabela1[[#This Row],[Siblings and Spouses]]+Tabela1[[#This Row],[Parents and Children]]</f>
        <v>0</v>
      </c>
      <c r="J307" s="3">
        <v>26.55</v>
      </c>
      <c r="K3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07" s="2" t="s">
        <v>396</v>
      </c>
    </row>
    <row r="308" spans="1:12" x14ac:dyDescent="0.25">
      <c r="A308" s="1" t="s">
        <v>1349</v>
      </c>
      <c r="B308" s="1" t="s">
        <v>1348</v>
      </c>
      <c r="C308" s="1" t="s">
        <v>306</v>
      </c>
      <c r="D308" s="1" t="s">
        <v>1321</v>
      </c>
      <c r="E308" s="1">
        <v>54</v>
      </c>
      <c r="F3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08" s="1">
        <v>0</v>
      </c>
      <c r="H308" s="1">
        <v>1</v>
      </c>
      <c r="I308" s="1">
        <f>Tabela1[[#This Row],[Siblings and Spouses]]+Tabela1[[#This Row],[Parents and Children]]</f>
        <v>1</v>
      </c>
      <c r="J308" s="3">
        <v>77.287499999999994</v>
      </c>
      <c r="K3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08" s="2" t="s">
        <v>396</v>
      </c>
    </row>
    <row r="309" spans="1:12" x14ac:dyDescent="0.25">
      <c r="A309" s="1" t="s">
        <v>1349</v>
      </c>
      <c r="B309" s="1" t="s">
        <v>1348</v>
      </c>
      <c r="C309" s="1" t="s">
        <v>307</v>
      </c>
      <c r="D309" s="1" t="s">
        <v>1321</v>
      </c>
      <c r="E309" s="1">
        <v>21</v>
      </c>
      <c r="F3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09" s="1">
        <v>0</v>
      </c>
      <c r="H309" s="1">
        <v>1</v>
      </c>
      <c r="I309" s="1">
        <f>Tabela1[[#This Row],[Siblings and Spouses]]+Tabela1[[#This Row],[Parents and Children]]</f>
        <v>1</v>
      </c>
      <c r="J309" s="3">
        <v>77.287499999999994</v>
      </c>
      <c r="K3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09" s="2" t="s">
        <v>396</v>
      </c>
    </row>
    <row r="310" spans="1:12" x14ac:dyDescent="0.25">
      <c r="A310" s="1" t="s">
        <v>1349</v>
      </c>
      <c r="B310" s="1" t="s">
        <v>1337</v>
      </c>
      <c r="C310" s="1" t="s">
        <v>308</v>
      </c>
      <c r="D310" s="1" t="s">
        <v>1320</v>
      </c>
      <c r="E310" s="1">
        <v>55</v>
      </c>
      <c r="F3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10" s="1">
        <v>0</v>
      </c>
      <c r="H310" s="1">
        <v>0</v>
      </c>
      <c r="I310" s="1">
        <f>Tabela1[[#This Row],[Siblings and Spouses]]+Tabela1[[#This Row],[Parents and Children]]</f>
        <v>0</v>
      </c>
      <c r="J310" s="3">
        <v>135.63329999999999</v>
      </c>
      <c r="K3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310" s="2" t="s">
        <v>1318</v>
      </c>
    </row>
    <row r="311" spans="1:12" x14ac:dyDescent="0.25">
      <c r="A311" s="1" t="s">
        <v>1349</v>
      </c>
      <c r="B311" s="1" t="s">
        <v>1337</v>
      </c>
      <c r="C311" s="1" t="s">
        <v>309</v>
      </c>
      <c r="D311" s="1" t="s">
        <v>1320</v>
      </c>
      <c r="E311" s="1">
        <v>31</v>
      </c>
      <c r="F3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11" s="1">
        <v>0</v>
      </c>
      <c r="H311" s="1">
        <v>2</v>
      </c>
      <c r="I311" s="1">
        <f>Tabela1[[#This Row],[Siblings and Spouses]]+Tabela1[[#This Row],[Parents and Children]]</f>
        <v>2</v>
      </c>
      <c r="J311" s="3">
        <v>164.86670000000001</v>
      </c>
      <c r="K3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311" s="2" t="s">
        <v>396</v>
      </c>
    </row>
    <row r="312" spans="1:12" x14ac:dyDescent="0.25">
      <c r="A312" s="1" t="s">
        <v>1349</v>
      </c>
      <c r="B312" s="1" t="s">
        <v>1348</v>
      </c>
      <c r="C312" s="1" t="s">
        <v>310</v>
      </c>
      <c r="D312" s="1" t="s">
        <v>1321</v>
      </c>
      <c r="E312" s="1">
        <v>57</v>
      </c>
      <c r="F3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12" s="1">
        <v>1</v>
      </c>
      <c r="H312" s="1">
        <v>1</v>
      </c>
      <c r="I312" s="1">
        <f>Tabela1[[#This Row],[Siblings and Spouses]]+Tabela1[[#This Row],[Parents and Children]]</f>
        <v>2</v>
      </c>
      <c r="J312" s="3">
        <v>164.86670000000001</v>
      </c>
      <c r="K3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312" s="2" t="s">
        <v>396</v>
      </c>
    </row>
    <row r="313" spans="1:12" x14ac:dyDescent="0.25">
      <c r="A313" s="1" t="s">
        <v>1349</v>
      </c>
      <c r="B313" s="1" t="s">
        <v>1337</v>
      </c>
      <c r="C313" s="1" t="s">
        <v>311</v>
      </c>
      <c r="D313" s="1" t="s">
        <v>1320</v>
      </c>
      <c r="E313" s="1">
        <v>45</v>
      </c>
      <c r="F3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13" s="1">
        <v>1</v>
      </c>
      <c r="H313" s="1">
        <v>1</v>
      </c>
      <c r="I313" s="1">
        <f>Tabela1[[#This Row],[Siblings and Spouses]]+Tabela1[[#This Row],[Parents and Children]]</f>
        <v>2</v>
      </c>
      <c r="J313" s="3">
        <v>164.86670000000001</v>
      </c>
      <c r="K3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£151-£200</v>
      </c>
      <c r="L313" s="2" t="s">
        <v>396</v>
      </c>
    </row>
    <row r="314" spans="1:12" x14ac:dyDescent="0.25">
      <c r="A314" s="1" t="s">
        <v>1349</v>
      </c>
      <c r="B314" s="1" t="s">
        <v>1348</v>
      </c>
      <c r="C314" s="1" t="s">
        <v>312</v>
      </c>
      <c r="D314" s="1" t="s">
        <v>1321</v>
      </c>
      <c r="E314" s="1">
        <v>50</v>
      </c>
      <c r="F3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14" s="1">
        <v>1</v>
      </c>
      <c r="H314" s="1">
        <v>1</v>
      </c>
      <c r="I314" s="1">
        <f>Tabela1[[#This Row],[Siblings and Spouses]]+Tabela1[[#This Row],[Parents and Children]]</f>
        <v>2</v>
      </c>
      <c r="J314" s="3">
        <v>211.5</v>
      </c>
      <c r="K3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314" s="2" t="s">
        <v>1318</v>
      </c>
    </row>
    <row r="315" spans="1:12" x14ac:dyDescent="0.25">
      <c r="A315" s="1" t="s">
        <v>1349</v>
      </c>
      <c r="B315" s="1" t="s">
        <v>1348</v>
      </c>
      <c r="C315" s="1" t="s">
        <v>313</v>
      </c>
      <c r="D315" s="1" t="s">
        <v>1321</v>
      </c>
      <c r="E315" s="1">
        <v>27</v>
      </c>
      <c r="F3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15" s="1">
        <v>0</v>
      </c>
      <c r="H315" s="1">
        <v>2</v>
      </c>
      <c r="I315" s="1">
        <f>Tabela1[[#This Row],[Siblings and Spouses]]+Tabela1[[#This Row],[Parents and Children]]</f>
        <v>2</v>
      </c>
      <c r="J315" s="3">
        <v>211.5</v>
      </c>
      <c r="K3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315" s="2" t="s">
        <v>1318</v>
      </c>
    </row>
    <row r="316" spans="1:12" x14ac:dyDescent="0.25">
      <c r="A316" s="1" t="s">
        <v>1349</v>
      </c>
      <c r="B316" s="1" t="s">
        <v>1337</v>
      </c>
      <c r="C316" s="1" t="s">
        <v>314</v>
      </c>
      <c r="D316" s="1" t="s">
        <v>1320</v>
      </c>
      <c r="E316" s="1">
        <v>50</v>
      </c>
      <c r="F3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16" s="1">
        <v>1</v>
      </c>
      <c r="H316" s="1">
        <v>1</v>
      </c>
      <c r="I316" s="1">
        <f>Tabela1[[#This Row],[Siblings and Spouses]]+Tabela1[[#This Row],[Parents and Children]]</f>
        <v>2</v>
      </c>
      <c r="J316" s="3">
        <v>211.5</v>
      </c>
      <c r="K3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£200 or more</v>
      </c>
      <c r="L316" s="2" t="s">
        <v>1318</v>
      </c>
    </row>
    <row r="317" spans="1:12" x14ac:dyDescent="0.25">
      <c r="A317" s="1" t="s">
        <v>1349</v>
      </c>
      <c r="B317" s="1" t="s">
        <v>1337</v>
      </c>
      <c r="C317" s="1" t="s">
        <v>315</v>
      </c>
      <c r="D317" s="1" t="s">
        <v>1320</v>
      </c>
      <c r="E317" s="1">
        <v>21</v>
      </c>
      <c r="F3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17" s="1">
        <v>0</v>
      </c>
      <c r="H317" s="1">
        <v>0</v>
      </c>
      <c r="I317" s="1">
        <f>Tabela1[[#This Row],[Siblings and Spouses]]+Tabela1[[#This Row],[Parents and Children]]</f>
        <v>0</v>
      </c>
      <c r="J317" s="3">
        <v>26.55</v>
      </c>
      <c r="K3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17" s="2" t="s">
        <v>396</v>
      </c>
    </row>
    <row r="318" spans="1:12" x14ac:dyDescent="0.25">
      <c r="A318" s="1" t="s">
        <v>1349</v>
      </c>
      <c r="B318" s="1" t="s">
        <v>1348</v>
      </c>
      <c r="C318" s="1" t="s">
        <v>316</v>
      </c>
      <c r="D318" s="1" t="s">
        <v>1321</v>
      </c>
      <c r="E318" s="1">
        <v>51</v>
      </c>
      <c r="F3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18" s="1">
        <v>0</v>
      </c>
      <c r="H318" s="1">
        <v>1</v>
      </c>
      <c r="I318" s="1">
        <f>Tabela1[[#This Row],[Siblings and Spouses]]+Tabela1[[#This Row],[Parents and Children]]</f>
        <v>1</v>
      </c>
      <c r="J318" s="3">
        <v>61.379199999999997</v>
      </c>
      <c r="K3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18" s="2" t="s">
        <v>1318</v>
      </c>
    </row>
    <row r="319" spans="1:12" x14ac:dyDescent="0.25">
      <c r="A319" s="1" t="s">
        <v>1349</v>
      </c>
      <c r="B319" s="1" t="s">
        <v>1337</v>
      </c>
      <c r="C319" s="1" t="s">
        <v>317</v>
      </c>
      <c r="D319" s="1" t="s">
        <v>1321</v>
      </c>
      <c r="E319" s="1">
        <v>21</v>
      </c>
      <c r="F3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19" s="1">
        <v>0</v>
      </c>
      <c r="H319" s="1">
        <v>1</v>
      </c>
      <c r="I319" s="1">
        <f>Tabela1[[#This Row],[Siblings and Spouses]]+Tabela1[[#This Row],[Parents and Children]]</f>
        <v>1</v>
      </c>
      <c r="J319" s="3">
        <v>61.379199999999997</v>
      </c>
      <c r="K3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19" s="2" t="s">
        <v>1318</v>
      </c>
    </row>
    <row r="320" spans="1:12" x14ac:dyDescent="0.25">
      <c r="A320" s="1" t="s">
        <v>1349</v>
      </c>
      <c r="B320" s="1" t="s">
        <v>1348</v>
      </c>
      <c r="C320" s="1" t="s">
        <v>318</v>
      </c>
      <c r="D320" s="1" t="s">
        <v>1321</v>
      </c>
      <c r="E320" s="1" t="s">
        <v>1323</v>
      </c>
      <c r="F3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320" s="1">
        <v>0</v>
      </c>
      <c r="H320" s="1">
        <v>0</v>
      </c>
      <c r="I320" s="1">
        <f>Tabela1[[#This Row],[Siblings and Spouses]]+Tabela1[[#This Row],[Parents and Children]]</f>
        <v>0</v>
      </c>
      <c r="J320" s="3">
        <v>35</v>
      </c>
      <c r="K3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20" s="2" t="s">
        <v>396</v>
      </c>
    </row>
    <row r="321" spans="1:12" x14ac:dyDescent="0.25">
      <c r="A321" s="1" t="s">
        <v>1349</v>
      </c>
      <c r="B321" s="1" t="s">
        <v>1337</v>
      </c>
      <c r="C321" s="1" t="s">
        <v>319</v>
      </c>
      <c r="D321" s="1" t="s">
        <v>1320</v>
      </c>
      <c r="E321" s="1">
        <v>31</v>
      </c>
      <c r="F3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21" s="1">
        <v>0</v>
      </c>
      <c r="H321" s="1">
        <v>0</v>
      </c>
      <c r="I321" s="1">
        <f>Tabela1[[#This Row],[Siblings and Spouses]]+Tabela1[[#This Row],[Parents and Children]]</f>
        <v>0</v>
      </c>
      <c r="J321" s="3">
        <v>134.5</v>
      </c>
      <c r="K3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321" s="2" t="s">
        <v>1318</v>
      </c>
    </row>
    <row r="322" spans="1:12" x14ac:dyDescent="0.25">
      <c r="A322" s="1" t="s">
        <v>1349</v>
      </c>
      <c r="B322" s="1" t="s">
        <v>1337</v>
      </c>
      <c r="C322" s="1" t="s">
        <v>320</v>
      </c>
      <c r="D322" s="1" t="s">
        <v>1321</v>
      </c>
      <c r="E322" s="1" t="s">
        <v>1323</v>
      </c>
      <c r="F3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322" s="1">
        <v>0</v>
      </c>
      <c r="H322" s="1">
        <v>0</v>
      </c>
      <c r="I322" s="1">
        <f>Tabela1[[#This Row],[Siblings and Spouses]]+Tabela1[[#This Row],[Parents and Children]]</f>
        <v>0</v>
      </c>
      <c r="J322" s="3">
        <v>35.5</v>
      </c>
      <c r="K3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22" s="2" t="s">
        <v>396</v>
      </c>
    </row>
    <row r="323" spans="1:12" x14ac:dyDescent="0.25">
      <c r="A323" s="1" t="s">
        <v>1349</v>
      </c>
      <c r="B323" s="1" t="s">
        <v>1348</v>
      </c>
      <c r="C323" s="1" t="s">
        <v>321</v>
      </c>
      <c r="D323" s="1" t="s">
        <v>1321</v>
      </c>
      <c r="E323" s="1">
        <v>62</v>
      </c>
      <c r="F3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323" s="1">
        <v>0</v>
      </c>
      <c r="H323" s="1">
        <v>0</v>
      </c>
      <c r="I323" s="1">
        <f>Tabela1[[#This Row],[Siblings and Spouses]]+Tabela1[[#This Row],[Parents and Children]]</f>
        <v>0</v>
      </c>
      <c r="J323" s="3">
        <v>26.55</v>
      </c>
      <c r="K3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23" s="2" t="s">
        <v>396</v>
      </c>
    </row>
    <row r="324" spans="1:12" x14ac:dyDescent="0.25">
      <c r="A324" s="1" t="s">
        <v>1349</v>
      </c>
      <c r="B324" s="1" t="s">
        <v>1337</v>
      </c>
      <c r="C324" s="1" t="s">
        <v>322</v>
      </c>
      <c r="D324" s="1" t="s">
        <v>1320</v>
      </c>
      <c r="E324" s="1">
        <v>36</v>
      </c>
      <c r="F3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24" s="1">
        <v>0</v>
      </c>
      <c r="H324" s="1">
        <v>0</v>
      </c>
      <c r="I324" s="1">
        <f>Tabela1[[#This Row],[Siblings and Spouses]]+Tabela1[[#This Row],[Parents and Children]]</f>
        <v>0</v>
      </c>
      <c r="J324" s="3">
        <v>135.63329999999999</v>
      </c>
      <c r="K3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£101-£150</v>
      </c>
      <c r="L324" s="2" t="s">
        <v>1318</v>
      </c>
    </row>
    <row r="325" spans="1:12" x14ac:dyDescent="0.25">
      <c r="A325" s="1" t="s">
        <v>1350</v>
      </c>
      <c r="B325" s="1" t="s">
        <v>1348</v>
      </c>
      <c r="C325" s="1" t="s">
        <v>323</v>
      </c>
      <c r="D325" s="1" t="s">
        <v>1321</v>
      </c>
      <c r="E325" s="1">
        <v>30</v>
      </c>
      <c r="F3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25" s="1">
        <v>1</v>
      </c>
      <c r="H325" s="1">
        <v>0</v>
      </c>
      <c r="I325" s="1">
        <f>Tabela1[[#This Row],[Siblings and Spouses]]+Tabela1[[#This Row],[Parents and Children]]</f>
        <v>1</v>
      </c>
      <c r="J325" s="3">
        <v>24</v>
      </c>
      <c r="K3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25" s="2" t="s">
        <v>1318</v>
      </c>
    </row>
    <row r="326" spans="1:12" x14ac:dyDescent="0.25">
      <c r="A326" s="1" t="s">
        <v>1350</v>
      </c>
      <c r="B326" s="1" t="s">
        <v>1337</v>
      </c>
      <c r="C326" s="1" t="s">
        <v>324</v>
      </c>
      <c r="D326" s="1" t="s">
        <v>1320</v>
      </c>
      <c r="E326" s="1">
        <v>28</v>
      </c>
      <c r="F3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26" s="1">
        <v>1</v>
      </c>
      <c r="H326" s="1">
        <v>0</v>
      </c>
      <c r="I326" s="1">
        <f>Tabela1[[#This Row],[Siblings and Spouses]]+Tabela1[[#This Row],[Parents and Children]]</f>
        <v>1</v>
      </c>
      <c r="J326" s="3">
        <v>24</v>
      </c>
      <c r="K3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26" s="2" t="s">
        <v>1318</v>
      </c>
    </row>
    <row r="327" spans="1:12" x14ac:dyDescent="0.25">
      <c r="A327" s="1" t="s">
        <v>1350</v>
      </c>
      <c r="B327" s="1" t="s">
        <v>1348</v>
      </c>
      <c r="C327" s="1" t="s">
        <v>325</v>
      </c>
      <c r="D327" s="1" t="s">
        <v>1321</v>
      </c>
      <c r="E327" s="1">
        <v>30</v>
      </c>
      <c r="F3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27" s="1">
        <v>0</v>
      </c>
      <c r="H327" s="1">
        <v>0</v>
      </c>
      <c r="I327" s="1">
        <f>Tabela1[[#This Row],[Siblings and Spouses]]+Tabela1[[#This Row],[Parents and Children]]</f>
        <v>0</v>
      </c>
      <c r="J327" s="3">
        <v>13</v>
      </c>
      <c r="K3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27" s="2" t="s">
        <v>396</v>
      </c>
    </row>
    <row r="328" spans="1:12" x14ac:dyDescent="0.25">
      <c r="A328" s="1" t="s">
        <v>1350</v>
      </c>
      <c r="B328" s="1" t="s">
        <v>1348</v>
      </c>
      <c r="C328" s="1" t="s">
        <v>326</v>
      </c>
      <c r="D328" s="1" t="s">
        <v>1321</v>
      </c>
      <c r="E328" s="1">
        <v>18</v>
      </c>
      <c r="F3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28" s="1">
        <v>0</v>
      </c>
      <c r="H328" s="1">
        <v>0</v>
      </c>
      <c r="I328" s="1">
        <f>Tabela1[[#This Row],[Siblings and Spouses]]+Tabela1[[#This Row],[Parents and Children]]</f>
        <v>0</v>
      </c>
      <c r="J328" s="3">
        <v>11.5</v>
      </c>
      <c r="K3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28" s="2" t="s">
        <v>396</v>
      </c>
    </row>
    <row r="329" spans="1:12" x14ac:dyDescent="0.25">
      <c r="A329" s="1" t="s">
        <v>1350</v>
      </c>
      <c r="B329" s="1" t="s">
        <v>1348</v>
      </c>
      <c r="C329" s="1" t="s">
        <v>327</v>
      </c>
      <c r="D329" s="1" t="s">
        <v>1321</v>
      </c>
      <c r="E329" s="1">
        <v>25</v>
      </c>
      <c r="F3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29" s="1">
        <v>0</v>
      </c>
      <c r="H329" s="1">
        <v>0</v>
      </c>
      <c r="I329" s="1">
        <f>Tabela1[[#This Row],[Siblings and Spouses]]+Tabela1[[#This Row],[Parents and Children]]</f>
        <v>0</v>
      </c>
      <c r="J329" s="3">
        <v>10.5</v>
      </c>
      <c r="K3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29" s="2" t="s">
        <v>396</v>
      </c>
    </row>
    <row r="330" spans="1:12" x14ac:dyDescent="0.25">
      <c r="A330" s="1" t="s">
        <v>1350</v>
      </c>
      <c r="B330" s="1" t="s">
        <v>1348</v>
      </c>
      <c r="C330" s="1" t="s">
        <v>328</v>
      </c>
      <c r="D330" s="1" t="s">
        <v>1321</v>
      </c>
      <c r="E330" s="1">
        <v>34</v>
      </c>
      <c r="F3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30" s="1">
        <v>1</v>
      </c>
      <c r="H330" s="1">
        <v>0</v>
      </c>
      <c r="I330" s="1">
        <f>Tabela1[[#This Row],[Siblings and Spouses]]+Tabela1[[#This Row],[Parents and Children]]</f>
        <v>1</v>
      </c>
      <c r="J330" s="3">
        <v>26</v>
      </c>
      <c r="K3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30" s="2" t="s">
        <v>396</v>
      </c>
    </row>
    <row r="331" spans="1:12" x14ac:dyDescent="0.25">
      <c r="A331" s="1" t="s">
        <v>1350</v>
      </c>
      <c r="B331" s="1" t="s">
        <v>1337</v>
      </c>
      <c r="C331" s="1" t="s">
        <v>329</v>
      </c>
      <c r="D331" s="1" t="s">
        <v>1320</v>
      </c>
      <c r="E331" s="1">
        <v>36</v>
      </c>
      <c r="F3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31" s="1">
        <v>1</v>
      </c>
      <c r="H331" s="1">
        <v>0</v>
      </c>
      <c r="I331" s="1">
        <f>Tabela1[[#This Row],[Siblings and Spouses]]+Tabela1[[#This Row],[Parents and Children]]</f>
        <v>1</v>
      </c>
      <c r="J331" s="3">
        <v>26</v>
      </c>
      <c r="K3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31" s="2" t="s">
        <v>396</v>
      </c>
    </row>
    <row r="332" spans="1:12" x14ac:dyDescent="0.25">
      <c r="A332" s="1" t="s">
        <v>1350</v>
      </c>
      <c r="B332" s="1" t="s">
        <v>1348</v>
      </c>
      <c r="C332" s="1" t="s">
        <v>330</v>
      </c>
      <c r="D332" s="1" t="s">
        <v>1321</v>
      </c>
      <c r="E332" s="1">
        <v>57</v>
      </c>
      <c r="F3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32" s="1">
        <v>0</v>
      </c>
      <c r="H332" s="1">
        <v>0</v>
      </c>
      <c r="I332" s="1">
        <f>Tabela1[[#This Row],[Siblings and Spouses]]+Tabela1[[#This Row],[Parents and Children]]</f>
        <v>0</v>
      </c>
      <c r="J332" s="3">
        <v>13</v>
      </c>
      <c r="K3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32" s="2" t="s">
        <v>396</v>
      </c>
    </row>
    <row r="333" spans="1:12" x14ac:dyDescent="0.25">
      <c r="A333" s="1" t="s">
        <v>1350</v>
      </c>
      <c r="B333" s="1" t="s">
        <v>1348</v>
      </c>
      <c r="C333" s="1" t="s">
        <v>331</v>
      </c>
      <c r="D333" s="1" t="s">
        <v>1321</v>
      </c>
      <c r="E333" s="1">
        <v>18</v>
      </c>
      <c r="F3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33" s="1">
        <v>0</v>
      </c>
      <c r="H333" s="1">
        <v>0</v>
      </c>
      <c r="I333" s="1">
        <f>Tabela1[[#This Row],[Siblings and Spouses]]+Tabela1[[#This Row],[Parents and Children]]</f>
        <v>0</v>
      </c>
      <c r="J333" s="3">
        <v>11.5</v>
      </c>
      <c r="K3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33" s="2" t="s">
        <v>396</v>
      </c>
    </row>
    <row r="334" spans="1:12" x14ac:dyDescent="0.25">
      <c r="A334" s="1" t="s">
        <v>1350</v>
      </c>
      <c r="B334" s="1" t="s">
        <v>1348</v>
      </c>
      <c r="C334" s="1" t="s">
        <v>332</v>
      </c>
      <c r="D334" s="1" t="s">
        <v>1321</v>
      </c>
      <c r="E334" s="1">
        <v>23</v>
      </c>
      <c r="F3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34" s="1">
        <v>0</v>
      </c>
      <c r="H334" s="1">
        <v>0</v>
      </c>
      <c r="I334" s="1">
        <f>Tabela1[[#This Row],[Siblings and Spouses]]+Tabela1[[#This Row],[Parents and Children]]</f>
        <v>0</v>
      </c>
      <c r="J334" s="3">
        <v>10.5</v>
      </c>
      <c r="K3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34" s="2" t="s">
        <v>396</v>
      </c>
    </row>
    <row r="335" spans="1:12" x14ac:dyDescent="0.25">
      <c r="A335" s="1" t="s">
        <v>1350</v>
      </c>
      <c r="B335" s="1" t="s">
        <v>1337</v>
      </c>
      <c r="C335" s="1" t="s">
        <v>333</v>
      </c>
      <c r="D335" s="1" t="s">
        <v>1320</v>
      </c>
      <c r="E335" s="1">
        <v>36</v>
      </c>
      <c r="F3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35" s="1">
        <v>0</v>
      </c>
      <c r="H335" s="1">
        <v>0</v>
      </c>
      <c r="I335" s="1">
        <f>Tabela1[[#This Row],[Siblings and Spouses]]+Tabela1[[#This Row],[Parents and Children]]</f>
        <v>0</v>
      </c>
      <c r="J335" s="3">
        <v>13</v>
      </c>
      <c r="K3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35" s="2" t="s">
        <v>396</v>
      </c>
    </row>
    <row r="336" spans="1:12" x14ac:dyDescent="0.25">
      <c r="A336" s="1" t="s">
        <v>1350</v>
      </c>
      <c r="B336" s="1" t="s">
        <v>1348</v>
      </c>
      <c r="C336" s="1" t="s">
        <v>334</v>
      </c>
      <c r="D336" s="1" t="s">
        <v>1321</v>
      </c>
      <c r="E336" s="1">
        <v>28</v>
      </c>
      <c r="F3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36" s="1">
        <v>0</v>
      </c>
      <c r="H336" s="1">
        <v>0</v>
      </c>
      <c r="I336" s="1">
        <f>Tabela1[[#This Row],[Siblings and Spouses]]+Tabela1[[#This Row],[Parents and Children]]</f>
        <v>0</v>
      </c>
      <c r="J336" s="3">
        <v>10.5</v>
      </c>
      <c r="K3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36" s="2" t="s">
        <v>396</v>
      </c>
    </row>
    <row r="337" spans="1:12" x14ac:dyDescent="0.25">
      <c r="A337" s="1" t="s">
        <v>1350</v>
      </c>
      <c r="B337" s="1" t="s">
        <v>1348</v>
      </c>
      <c r="C337" s="1" t="s">
        <v>335</v>
      </c>
      <c r="D337" s="1" t="s">
        <v>1321</v>
      </c>
      <c r="E337" s="1">
        <v>51</v>
      </c>
      <c r="F3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37" s="1">
        <v>0</v>
      </c>
      <c r="H337" s="1">
        <v>0</v>
      </c>
      <c r="I337" s="1">
        <f>Tabela1[[#This Row],[Siblings and Spouses]]+Tabela1[[#This Row],[Parents and Children]]</f>
        <v>0</v>
      </c>
      <c r="J337" s="3">
        <v>12.525</v>
      </c>
      <c r="K3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37" s="2" t="s">
        <v>396</v>
      </c>
    </row>
    <row r="338" spans="1:12" x14ac:dyDescent="0.25">
      <c r="A338" s="1" t="s">
        <v>1350</v>
      </c>
      <c r="B338" s="1" t="s">
        <v>1337</v>
      </c>
      <c r="C338" s="1" t="s">
        <v>336</v>
      </c>
      <c r="D338" s="1" t="s">
        <v>1321</v>
      </c>
      <c r="E338" s="1">
        <v>32</v>
      </c>
      <c r="F3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38" s="1">
        <v>1</v>
      </c>
      <c r="H338" s="1">
        <v>0</v>
      </c>
      <c r="I338" s="1">
        <f>Tabela1[[#This Row],[Siblings and Spouses]]+Tabela1[[#This Row],[Parents and Children]]</f>
        <v>1</v>
      </c>
      <c r="J338" s="3">
        <v>26</v>
      </c>
      <c r="K3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38" s="2" t="s">
        <v>396</v>
      </c>
    </row>
    <row r="339" spans="1:12" x14ac:dyDescent="0.25">
      <c r="A339" s="1" t="s">
        <v>1350</v>
      </c>
      <c r="B339" s="1" t="s">
        <v>1337</v>
      </c>
      <c r="C339" s="1" t="s">
        <v>337</v>
      </c>
      <c r="D339" s="1" t="s">
        <v>1320</v>
      </c>
      <c r="E339" s="1">
        <v>19</v>
      </c>
      <c r="F3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39" s="1">
        <v>1</v>
      </c>
      <c r="H339" s="1">
        <v>0</v>
      </c>
      <c r="I339" s="1">
        <f>Tabela1[[#This Row],[Siblings and Spouses]]+Tabela1[[#This Row],[Parents and Children]]</f>
        <v>1</v>
      </c>
      <c r="J339" s="3">
        <v>26</v>
      </c>
      <c r="K3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39" s="2" t="s">
        <v>396</v>
      </c>
    </row>
    <row r="340" spans="1:12" x14ac:dyDescent="0.25">
      <c r="A340" s="1" t="s">
        <v>1350</v>
      </c>
      <c r="B340" s="1" t="s">
        <v>1348</v>
      </c>
      <c r="C340" s="1" t="s">
        <v>338</v>
      </c>
      <c r="D340" s="1" t="s">
        <v>1321</v>
      </c>
      <c r="E340" s="1">
        <v>28</v>
      </c>
      <c r="F3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40" s="1">
        <v>0</v>
      </c>
      <c r="H340" s="1">
        <v>0</v>
      </c>
      <c r="I340" s="1">
        <f>Tabela1[[#This Row],[Siblings and Spouses]]+Tabela1[[#This Row],[Parents and Children]]</f>
        <v>0</v>
      </c>
      <c r="J340" s="3">
        <v>26</v>
      </c>
      <c r="K3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40" s="2" t="s">
        <v>396</v>
      </c>
    </row>
    <row r="341" spans="1:12" x14ac:dyDescent="0.25">
      <c r="A341" s="1" t="s">
        <v>1350</v>
      </c>
      <c r="B341" s="1" t="s">
        <v>1337</v>
      </c>
      <c r="C341" s="1" t="s">
        <v>339</v>
      </c>
      <c r="D341" s="1" t="s">
        <v>1321</v>
      </c>
      <c r="E341" s="1">
        <v>1</v>
      </c>
      <c r="F3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41" s="1">
        <v>2</v>
      </c>
      <c r="H341" s="1">
        <v>1</v>
      </c>
      <c r="I341" s="1">
        <f>Tabela1[[#This Row],[Siblings and Spouses]]+Tabela1[[#This Row],[Parents and Children]]</f>
        <v>3</v>
      </c>
      <c r="J341" s="3">
        <v>39</v>
      </c>
      <c r="K3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41" s="2" t="s">
        <v>396</v>
      </c>
    </row>
    <row r="342" spans="1:12" x14ac:dyDescent="0.25">
      <c r="A342" s="1" t="s">
        <v>1350</v>
      </c>
      <c r="B342" s="1" t="s">
        <v>1337</v>
      </c>
      <c r="C342" s="1" t="s">
        <v>340</v>
      </c>
      <c r="D342" s="1" t="s">
        <v>1320</v>
      </c>
      <c r="E342" s="1">
        <v>4</v>
      </c>
      <c r="F3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42" s="1">
        <v>2</v>
      </c>
      <c r="H342" s="1">
        <v>1</v>
      </c>
      <c r="I342" s="1">
        <f>Tabela1[[#This Row],[Siblings and Spouses]]+Tabela1[[#This Row],[Parents and Children]]</f>
        <v>3</v>
      </c>
      <c r="J342" s="3">
        <v>39</v>
      </c>
      <c r="K3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42" s="2" t="s">
        <v>396</v>
      </c>
    </row>
    <row r="343" spans="1:12" x14ac:dyDescent="0.25">
      <c r="A343" s="1" t="s">
        <v>1350</v>
      </c>
      <c r="B343" s="1" t="s">
        <v>1337</v>
      </c>
      <c r="C343" s="1" t="s">
        <v>341</v>
      </c>
      <c r="D343" s="1" t="s">
        <v>1320</v>
      </c>
      <c r="E343" s="1">
        <v>12</v>
      </c>
      <c r="F3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43" s="1">
        <v>2</v>
      </c>
      <c r="H343" s="1">
        <v>1</v>
      </c>
      <c r="I343" s="1">
        <f>Tabela1[[#This Row],[Siblings and Spouses]]+Tabela1[[#This Row],[Parents and Children]]</f>
        <v>3</v>
      </c>
      <c r="J343" s="3">
        <v>39</v>
      </c>
      <c r="K3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43" s="2" t="s">
        <v>396</v>
      </c>
    </row>
    <row r="344" spans="1:12" x14ac:dyDescent="0.25">
      <c r="A344" s="1" t="s">
        <v>1350</v>
      </c>
      <c r="B344" s="1" t="s">
        <v>1337</v>
      </c>
      <c r="C344" s="1" t="s">
        <v>342</v>
      </c>
      <c r="D344" s="1" t="s">
        <v>1320</v>
      </c>
      <c r="E344" s="1">
        <v>36</v>
      </c>
      <c r="F3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44" s="1">
        <v>0</v>
      </c>
      <c r="H344" s="1">
        <v>3</v>
      </c>
      <c r="I344" s="1">
        <f>Tabela1[[#This Row],[Siblings and Spouses]]+Tabela1[[#This Row],[Parents and Children]]</f>
        <v>3</v>
      </c>
      <c r="J344" s="3">
        <v>39</v>
      </c>
      <c r="K3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44" s="2" t="s">
        <v>396</v>
      </c>
    </row>
    <row r="345" spans="1:12" x14ac:dyDescent="0.25">
      <c r="A345" s="1" t="s">
        <v>1350</v>
      </c>
      <c r="B345" s="1" t="s">
        <v>1337</v>
      </c>
      <c r="C345" s="1" t="s">
        <v>343</v>
      </c>
      <c r="D345" s="1" t="s">
        <v>1321</v>
      </c>
      <c r="E345" s="1">
        <v>34</v>
      </c>
      <c r="F3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45" s="1">
        <v>0</v>
      </c>
      <c r="H345" s="1">
        <v>0</v>
      </c>
      <c r="I345" s="1">
        <f>Tabela1[[#This Row],[Siblings and Spouses]]+Tabela1[[#This Row],[Parents and Children]]</f>
        <v>0</v>
      </c>
      <c r="J345" s="3">
        <v>13</v>
      </c>
      <c r="K3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45" s="2" t="s">
        <v>396</v>
      </c>
    </row>
    <row r="346" spans="1:12" x14ac:dyDescent="0.25">
      <c r="A346" s="1" t="s">
        <v>1350</v>
      </c>
      <c r="B346" s="1" t="s">
        <v>1337</v>
      </c>
      <c r="C346" s="1" t="s">
        <v>344</v>
      </c>
      <c r="D346" s="1" t="s">
        <v>1320</v>
      </c>
      <c r="E346" s="1">
        <v>19</v>
      </c>
      <c r="F3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46" s="1">
        <v>0</v>
      </c>
      <c r="H346" s="1">
        <v>0</v>
      </c>
      <c r="I346" s="1">
        <f>Tabela1[[#This Row],[Siblings and Spouses]]+Tabela1[[#This Row],[Parents and Children]]</f>
        <v>0</v>
      </c>
      <c r="J346" s="3">
        <v>13</v>
      </c>
      <c r="K3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46" s="2" t="s">
        <v>396</v>
      </c>
    </row>
    <row r="347" spans="1:12" x14ac:dyDescent="0.25">
      <c r="A347" s="1" t="s">
        <v>1350</v>
      </c>
      <c r="B347" s="1" t="s">
        <v>1348</v>
      </c>
      <c r="C347" s="1" t="s">
        <v>345</v>
      </c>
      <c r="D347" s="1" t="s">
        <v>1321</v>
      </c>
      <c r="E347" s="1">
        <v>23</v>
      </c>
      <c r="F3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47" s="1">
        <v>0</v>
      </c>
      <c r="H347" s="1">
        <v>0</v>
      </c>
      <c r="I347" s="1">
        <f>Tabela1[[#This Row],[Siblings and Spouses]]+Tabela1[[#This Row],[Parents and Children]]</f>
        <v>0</v>
      </c>
      <c r="J347" s="3">
        <v>13</v>
      </c>
      <c r="K3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47" s="2" t="s">
        <v>396</v>
      </c>
    </row>
    <row r="348" spans="1:12" x14ac:dyDescent="0.25">
      <c r="A348" s="1" t="s">
        <v>1350</v>
      </c>
      <c r="B348" s="1" t="s">
        <v>1348</v>
      </c>
      <c r="C348" s="1" t="s">
        <v>346</v>
      </c>
      <c r="D348" s="1" t="s">
        <v>1321</v>
      </c>
      <c r="E348" s="1">
        <v>26</v>
      </c>
      <c r="F3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48" s="1">
        <v>0</v>
      </c>
      <c r="H348" s="1">
        <v>0</v>
      </c>
      <c r="I348" s="1">
        <f>Tabela1[[#This Row],[Siblings and Spouses]]+Tabela1[[#This Row],[Parents and Children]]</f>
        <v>0</v>
      </c>
      <c r="J348" s="3">
        <v>13</v>
      </c>
      <c r="K3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48" s="2" t="s">
        <v>396</v>
      </c>
    </row>
    <row r="349" spans="1:12" x14ac:dyDescent="0.25">
      <c r="A349" s="1" t="s">
        <v>1350</v>
      </c>
      <c r="B349" s="1" t="s">
        <v>1348</v>
      </c>
      <c r="C349" s="1" t="s">
        <v>347</v>
      </c>
      <c r="D349" s="1" t="s">
        <v>1321</v>
      </c>
      <c r="E349" s="1">
        <v>42</v>
      </c>
      <c r="F3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49" s="1">
        <v>0</v>
      </c>
      <c r="H349" s="1">
        <v>0</v>
      </c>
      <c r="I349" s="1">
        <f>Tabela1[[#This Row],[Siblings and Spouses]]+Tabela1[[#This Row],[Parents and Children]]</f>
        <v>0</v>
      </c>
      <c r="J349" s="3">
        <v>13</v>
      </c>
      <c r="K3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49" s="2" t="s">
        <v>396</v>
      </c>
    </row>
    <row r="350" spans="1:12" x14ac:dyDescent="0.25">
      <c r="A350" s="1" t="s">
        <v>1350</v>
      </c>
      <c r="B350" s="1" t="s">
        <v>1348</v>
      </c>
      <c r="C350" s="1" t="s">
        <v>348</v>
      </c>
      <c r="D350" s="1" t="s">
        <v>1321</v>
      </c>
      <c r="E350" s="1">
        <v>27</v>
      </c>
      <c r="F3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50" s="1">
        <v>0</v>
      </c>
      <c r="H350" s="1">
        <v>0</v>
      </c>
      <c r="I350" s="1">
        <f>Tabela1[[#This Row],[Siblings and Spouses]]+Tabela1[[#This Row],[Parents and Children]]</f>
        <v>0</v>
      </c>
      <c r="J350" s="3">
        <v>13</v>
      </c>
      <c r="K3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50" s="2" t="s">
        <v>396</v>
      </c>
    </row>
    <row r="351" spans="1:12" x14ac:dyDescent="0.25">
      <c r="A351" s="1" t="s">
        <v>1350</v>
      </c>
      <c r="B351" s="1" t="s">
        <v>1337</v>
      </c>
      <c r="C351" s="1" t="s">
        <v>349</v>
      </c>
      <c r="D351" s="1" t="s">
        <v>1320</v>
      </c>
      <c r="E351" s="1">
        <v>24</v>
      </c>
      <c r="F3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51" s="1">
        <v>0</v>
      </c>
      <c r="H351" s="1">
        <v>0</v>
      </c>
      <c r="I351" s="1">
        <f>Tabela1[[#This Row],[Siblings and Spouses]]+Tabela1[[#This Row],[Parents and Children]]</f>
        <v>0</v>
      </c>
      <c r="J351" s="3">
        <v>13</v>
      </c>
      <c r="K3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51" s="2" t="s">
        <v>396</v>
      </c>
    </row>
    <row r="352" spans="1:12" x14ac:dyDescent="0.25">
      <c r="A352" s="1" t="s">
        <v>1350</v>
      </c>
      <c r="B352" s="1" t="s">
        <v>1337</v>
      </c>
      <c r="C352" s="1" t="s">
        <v>350</v>
      </c>
      <c r="D352" s="1" t="s">
        <v>1320</v>
      </c>
      <c r="E352" s="1">
        <v>15</v>
      </c>
      <c r="F3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52" s="1">
        <v>0</v>
      </c>
      <c r="H352" s="1">
        <v>2</v>
      </c>
      <c r="I352" s="1">
        <f>Tabela1[[#This Row],[Siblings and Spouses]]+Tabela1[[#This Row],[Parents and Children]]</f>
        <v>2</v>
      </c>
      <c r="J352" s="3">
        <v>39</v>
      </c>
      <c r="K3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52" s="2" t="s">
        <v>396</v>
      </c>
    </row>
    <row r="353" spans="1:12" x14ac:dyDescent="0.25">
      <c r="A353" s="1" t="s">
        <v>1350</v>
      </c>
      <c r="B353" s="1" t="s">
        <v>1348</v>
      </c>
      <c r="C353" s="1" t="s">
        <v>351</v>
      </c>
      <c r="D353" s="1" t="s">
        <v>1321</v>
      </c>
      <c r="E353" s="1">
        <v>60</v>
      </c>
      <c r="F3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53" s="1">
        <v>1</v>
      </c>
      <c r="H353" s="1">
        <v>1</v>
      </c>
      <c r="I353" s="1">
        <f>Tabela1[[#This Row],[Siblings and Spouses]]+Tabela1[[#This Row],[Parents and Children]]</f>
        <v>2</v>
      </c>
      <c r="J353" s="3">
        <v>39</v>
      </c>
      <c r="K3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53" s="2" t="s">
        <v>396</v>
      </c>
    </row>
    <row r="354" spans="1:12" x14ac:dyDescent="0.25">
      <c r="A354" s="1" t="s">
        <v>1350</v>
      </c>
      <c r="B354" s="1" t="s">
        <v>1337</v>
      </c>
      <c r="C354" s="1" t="s">
        <v>352</v>
      </c>
      <c r="D354" s="1" t="s">
        <v>1320</v>
      </c>
      <c r="E354" s="1">
        <v>40</v>
      </c>
      <c r="F3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54" s="1">
        <v>1</v>
      </c>
      <c r="H354" s="1">
        <v>1</v>
      </c>
      <c r="I354" s="1">
        <f>Tabela1[[#This Row],[Siblings and Spouses]]+Tabela1[[#This Row],[Parents and Children]]</f>
        <v>2</v>
      </c>
      <c r="J354" s="3">
        <v>39</v>
      </c>
      <c r="K3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54" s="2" t="s">
        <v>396</v>
      </c>
    </row>
    <row r="355" spans="1:12" x14ac:dyDescent="0.25">
      <c r="A355" s="1" t="s">
        <v>1350</v>
      </c>
      <c r="B355" s="1" t="s">
        <v>1337</v>
      </c>
      <c r="C355" s="1" t="s">
        <v>353</v>
      </c>
      <c r="D355" s="1" t="s">
        <v>1320</v>
      </c>
      <c r="E355" s="1">
        <v>20</v>
      </c>
      <c r="F3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55" s="1">
        <v>1</v>
      </c>
      <c r="H355" s="1">
        <v>0</v>
      </c>
      <c r="I355" s="1">
        <f>Tabela1[[#This Row],[Siblings and Spouses]]+Tabela1[[#This Row],[Parents and Children]]</f>
        <v>1</v>
      </c>
      <c r="J355" s="3">
        <v>26</v>
      </c>
      <c r="K3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55" s="2" t="s">
        <v>396</v>
      </c>
    </row>
    <row r="356" spans="1:12" x14ac:dyDescent="0.25">
      <c r="A356" s="1" t="s">
        <v>1350</v>
      </c>
      <c r="B356" s="1" t="s">
        <v>1348</v>
      </c>
      <c r="C356" s="1" t="s">
        <v>354</v>
      </c>
      <c r="D356" s="1" t="s">
        <v>1321</v>
      </c>
      <c r="E356" s="1">
        <v>25</v>
      </c>
      <c r="F3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56" s="1">
        <v>1</v>
      </c>
      <c r="H356" s="1">
        <v>0</v>
      </c>
      <c r="I356" s="1">
        <f>Tabela1[[#This Row],[Siblings and Spouses]]+Tabela1[[#This Row],[Parents and Children]]</f>
        <v>1</v>
      </c>
      <c r="J356" s="3">
        <v>26</v>
      </c>
      <c r="K3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56" s="2" t="s">
        <v>396</v>
      </c>
    </row>
    <row r="357" spans="1:12" x14ac:dyDescent="0.25">
      <c r="A357" s="1" t="s">
        <v>1350</v>
      </c>
      <c r="B357" s="1" t="s">
        <v>1337</v>
      </c>
      <c r="C357" s="1" t="s">
        <v>355</v>
      </c>
      <c r="D357" s="1" t="s">
        <v>1320</v>
      </c>
      <c r="E357" s="1">
        <v>36</v>
      </c>
      <c r="F3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57" s="1">
        <v>0</v>
      </c>
      <c r="H357" s="1">
        <v>0</v>
      </c>
      <c r="I357" s="1">
        <f>Tabela1[[#This Row],[Siblings and Spouses]]+Tabela1[[#This Row],[Parents and Children]]</f>
        <v>0</v>
      </c>
      <c r="J357" s="3">
        <v>13</v>
      </c>
      <c r="K3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57" s="2" t="s">
        <v>396</v>
      </c>
    </row>
    <row r="358" spans="1:12" x14ac:dyDescent="0.25">
      <c r="A358" s="1" t="s">
        <v>1350</v>
      </c>
      <c r="B358" s="1" t="s">
        <v>1348</v>
      </c>
      <c r="C358" s="1" t="s">
        <v>356</v>
      </c>
      <c r="D358" s="1" t="s">
        <v>1321</v>
      </c>
      <c r="E358" s="1">
        <v>25</v>
      </c>
      <c r="F3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58" s="1">
        <v>0</v>
      </c>
      <c r="H358" s="1">
        <v>0</v>
      </c>
      <c r="I358" s="1">
        <f>Tabela1[[#This Row],[Siblings and Spouses]]+Tabela1[[#This Row],[Parents and Children]]</f>
        <v>0</v>
      </c>
      <c r="J358" s="3">
        <v>13</v>
      </c>
      <c r="K3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58" s="2" t="s">
        <v>396</v>
      </c>
    </row>
    <row r="359" spans="1:12" x14ac:dyDescent="0.25">
      <c r="A359" s="1" t="s">
        <v>1350</v>
      </c>
      <c r="B359" s="1" t="s">
        <v>1348</v>
      </c>
      <c r="C359" s="1" t="s">
        <v>357</v>
      </c>
      <c r="D359" s="1" t="s">
        <v>1321</v>
      </c>
      <c r="E359" s="1">
        <v>42</v>
      </c>
      <c r="F3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59" s="1">
        <v>0</v>
      </c>
      <c r="H359" s="1">
        <v>0</v>
      </c>
      <c r="I359" s="1">
        <f>Tabela1[[#This Row],[Siblings and Spouses]]+Tabela1[[#This Row],[Parents and Children]]</f>
        <v>0</v>
      </c>
      <c r="J359" s="3">
        <v>13</v>
      </c>
      <c r="K3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59" s="2" t="s">
        <v>396</v>
      </c>
    </row>
    <row r="360" spans="1:12" x14ac:dyDescent="0.25">
      <c r="A360" s="1" t="s">
        <v>1350</v>
      </c>
      <c r="B360" s="1" t="s">
        <v>1337</v>
      </c>
      <c r="C360" s="1" t="s">
        <v>358</v>
      </c>
      <c r="D360" s="1" t="s">
        <v>1320</v>
      </c>
      <c r="E360" s="1">
        <v>42</v>
      </c>
      <c r="F3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60" s="1">
        <v>0</v>
      </c>
      <c r="H360" s="1">
        <v>0</v>
      </c>
      <c r="I360" s="1">
        <f>Tabela1[[#This Row],[Siblings and Spouses]]+Tabela1[[#This Row],[Parents and Children]]</f>
        <v>0</v>
      </c>
      <c r="J360" s="3">
        <v>13</v>
      </c>
      <c r="K3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60" s="2" t="s">
        <v>396</v>
      </c>
    </row>
    <row r="361" spans="1:12" x14ac:dyDescent="0.25">
      <c r="A361" s="1" t="s">
        <v>1350</v>
      </c>
      <c r="B361" s="1" t="s">
        <v>1337</v>
      </c>
      <c r="C361" s="1" t="s">
        <v>359</v>
      </c>
      <c r="D361" s="1" t="s">
        <v>1321</v>
      </c>
      <c r="E361" s="1">
        <v>0.83330000000000004</v>
      </c>
      <c r="F3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61" s="1">
        <v>0</v>
      </c>
      <c r="H361" s="1">
        <v>2</v>
      </c>
      <c r="I361" s="1">
        <f>Tabela1[[#This Row],[Siblings and Spouses]]+Tabela1[[#This Row],[Parents and Children]]</f>
        <v>2</v>
      </c>
      <c r="J361" s="3">
        <v>29</v>
      </c>
      <c r="K3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61" s="2" t="s">
        <v>396</v>
      </c>
    </row>
    <row r="362" spans="1:12" x14ac:dyDescent="0.25">
      <c r="A362" s="1" t="s">
        <v>1350</v>
      </c>
      <c r="B362" s="1" t="s">
        <v>1337</v>
      </c>
      <c r="C362" s="1" t="s">
        <v>360</v>
      </c>
      <c r="D362" s="1" t="s">
        <v>1321</v>
      </c>
      <c r="E362" s="1">
        <v>26</v>
      </c>
      <c r="F3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62" s="1">
        <v>1</v>
      </c>
      <c r="H362" s="1">
        <v>1</v>
      </c>
      <c r="I362" s="1">
        <f>Tabela1[[#This Row],[Siblings and Spouses]]+Tabela1[[#This Row],[Parents and Children]]</f>
        <v>2</v>
      </c>
      <c r="J362" s="3">
        <v>29</v>
      </c>
      <c r="K3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62" s="2" t="s">
        <v>396</v>
      </c>
    </row>
    <row r="363" spans="1:12" x14ac:dyDescent="0.25">
      <c r="A363" s="1" t="s">
        <v>1350</v>
      </c>
      <c r="B363" s="1" t="s">
        <v>1337</v>
      </c>
      <c r="C363" s="1" t="s">
        <v>361</v>
      </c>
      <c r="D363" s="1" t="s">
        <v>1320</v>
      </c>
      <c r="E363" s="1">
        <v>22</v>
      </c>
      <c r="F3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63" s="1">
        <v>1</v>
      </c>
      <c r="H363" s="1">
        <v>1</v>
      </c>
      <c r="I363" s="1">
        <f>Tabela1[[#This Row],[Siblings and Spouses]]+Tabela1[[#This Row],[Parents and Children]]</f>
        <v>2</v>
      </c>
      <c r="J363" s="3">
        <v>29</v>
      </c>
      <c r="K3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63" s="2" t="s">
        <v>396</v>
      </c>
    </row>
    <row r="364" spans="1:12" x14ac:dyDescent="0.25">
      <c r="A364" s="1" t="s">
        <v>1350</v>
      </c>
      <c r="B364" s="1" t="s">
        <v>1337</v>
      </c>
      <c r="C364" s="1" t="s">
        <v>362</v>
      </c>
      <c r="D364" s="1" t="s">
        <v>1320</v>
      </c>
      <c r="E364" s="1">
        <v>35</v>
      </c>
      <c r="F3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64" s="1">
        <v>0</v>
      </c>
      <c r="H364" s="1">
        <v>0</v>
      </c>
      <c r="I364" s="1">
        <f>Tabela1[[#This Row],[Siblings and Spouses]]+Tabela1[[#This Row],[Parents and Children]]</f>
        <v>0</v>
      </c>
      <c r="J364" s="3">
        <v>21</v>
      </c>
      <c r="K3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64" s="2" t="s">
        <v>396</v>
      </c>
    </row>
    <row r="365" spans="1:12" x14ac:dyDescent="0.25">
      <c r="A365" s="1" t="s">
        <v>1350</v>
      </c>
      <c r="B365" s="1" t="s">
        <v>1348</v>
      </c>
      <c r="C365" s="1" t="s">
        <v>363</v>
      </c>
      <c r="D365" s="1" t="s">
        <v>1321</v>
      </c>
      <c r="E365" s="1" t="s">
        <v>1323</v>
      </c>
      <c r="F3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365" s="1">
        <v>0</v>
      </c>
      <c r="H365" s="1">
        <v>0</v>
      </c>
      <c r="I365" s="1">
        <f>Tabela1[[#This Row],[Siblings and Spouses]]+Tabela1[[#This Row],[Parents and Children]]</f>
        <v>0</v>
      </c>
      <c r="J365" s="3">
        <v>0</v>
      </c>
      <c r="K3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365" s="2" t="s">
        <v>396</v>
      </c>
    </row>
    <row r="366" spans="1:12" x14ac:dyDescent="0.25">
      <c r="A366" s="1" t="s">
        <v>1350</v>
      </c>
      <c r="B366" s="1" t="s">
        <v>1348</v>
      </c>
      <c r="C366" s="1" t="s">
        <v>364</v>
      </c>
      <c r="D366" s="1" t="s">
        <v>1321</v>
      </c>
      <c r="E366" s="1">
        <v>19</v>
      </c>
      <c r="F3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66" s="1">
        <v>0</v>
      </c>
      <c r="H366" s="1">
        <v>0</v>
      </c>
      <c r="I366" s="1">
        <f>Tabela1[[#This Row],[Siblings and Spouses]]+Tabela1[[#This Row],[Parents and Children]]</f>
        <v>0</v>
      </c>
      <c r="J366" s="3">
        <v>13</v>
      </c>
      <c r="K3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66" s="2" t="s">
        <v>396</v>
      </c>
    </row>
    <row r="367" spans="1:12" x14ac:dyDescent="0.25">
      <c r="A367" s="1" t="s">
        <v>1350</v>
      </c>
      <c r="B367" s="1" t="s">
        <v>1348</v>
      </c>
      <c r="C367" s="1" t="s">
        <v>365</v>
      </c>
      <c r="D367" s="1" t="s">
        <v>1320</v>
      </c>
      <c r="E367" s="1">
        <v>44</v>
      </c>
      <c r="F3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67" s="1">
        <v>1</v>
      </c>
      <c r="H367" s="1">
        <v>0</v>
      </c>
      <c r="I367" s="1">
        <f>Tabela1[[#This Row],[Siblings and Spouses]]+Tabela1[[#This Row],[Parents and Children]]</f>
        <v>1</v>
      </c>
      <c r="J367" s="3">
        <v>26</v>
      </c>
      <c r="K3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67" s="2" t="s">
        <v>396</v>
      </c>
    </row>
    <row r="368" spans="1:12" x14ac:dyDescent="0.25">
      <c r="A368" s="1" t="s">
        <v>1350</v>
      </c>
      <c r="B368" s="1" t="s">
        <v>1348</v>
      </c>
      <c r="C368" s="1" t="s">
        <v>366</v>
      </c>
      <c r="D368" s="1" t="s">
        <v>1321</v>
      </c>
      <c r="E368" s="1">
        <v>54</v>
      </c>
      <c r="F3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68" s="1">
        <v>1</v>
      </c>
      <c r="H368" s="1">
        <v>0</v>
      </c>
      <c r="I368" s="1">
        <f>Tabela1[[#This Row],[Siblings and Spouses]]+Tabela1[[#This Row],[Parents and Children]]</f>
        <v>1</v>
      </c>
      <c r="J368" s="3">
        <v>26</v>
      </c>
      <c r="K3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68" s="2" t="s">
        <v>396</v>
      </c>
    </row>
    <row r="369" spans="1:12" x14ac:dyDescent="0.25">
      <c r="A369" s="1" t="s">
        <v>1350</v>
      </c>
      <c r="B369" s="1" t="s">
        <v>1348</v>
      </c>
      <c r="C369" s="1" t="s">
        <v>367</v>
      </c>
      <c r="D369" s="1" t="s">
        <v>1321</v>
      </c>
      <c r="E369" s="1">
        <v>52</v>
      </c>
      <c r="F3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69" s="1">
        <v>0</v>
      </c>
      <c r="H369" s="1">
        <v>0</v>
      </c>
      <c r="I369" s="1">
        <f>Tabela1[[#This Row],[Siblings and Spouses]]+Tabela1[[#This Row],[Parents and Children]]</f>
        <v>0</v>
      </c>
      <c r="J369" s="3">
        <v>13.5</v>
      </c>
      <c r="K3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69" s="2" t="s">
        <v>396</v>
      </c>
    </row>
    <row r="370" spans="1:12" x14ac:dyDescent="0.25">
      <c r="A370" s="1" t="s">
        <v>1350</v>
      </c>
      <c r="B370" s="1" t="s">
        <v>1348</v>
      </c>
      <c r="C370" s="1" t="s">
        <v>368</v>
      </c>
      <c r="D370" s="1" t="s">
        <v>1321</v>
      </c>
      <c r="E370" s="1">
        <v>37</v>
      </c>
      <c r="F3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70" s="1">
        <v>1</v>
      </c>
      <c r="H370" s="1">
        <v>0</v>
      </c>
      <c r="I370" s="1">
        <f>Tabela1[[#This Row],[Siblings and Spouses]]+Tabela1[[#This Row],[Parents and Children]]</f>
        <v>1</v>
      </c>
      <c r="J370" s="3">
        <v>26</v>
      </c>
      <c r="K3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0" s="2" t="s">
        <v>396</v>
      </c>
    </row>
    <row r="371" spans="1:12" x14ac:dyDescent="0.25">
      <c r="A371" s="1" t="s">
        <v>1350</v>
      </c>
      <c r="B371" s="1" t="s">
        <v>1348</v>
      </c>
      <c r="C371" s="1" t="s">
        <v>369</v>
      </c>
      <c r="D371" s="1" t="s">
        <v>1320</v>
      </c>
      <c r="E371" s="1">
        <v>29</v>
      </c>
      <c r="F3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1" s="1">
        <v>1</v>
      </c>
      <c r="H371" s="1">
        <v>0</v>
      </c>
      <c r="I371" s="1">
        <f>Tabela1[[#This Row],[Siblings and Spouses]]+Tabela1[[#This Row],[Parents and Children]]</f>
        <v>1</v>
      </c>
      <c r="J371" s="3">
        <v>26</v>
      </c>
      <c r="K3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1" s="2" t="s">
        <v>396</v>
      </c>
    </row>
    <row r="372" spans="1:12" x14ac:dyDescent="0.25">
      <c r="A372" s="1" t="s">
        <v>1350</v>
      </c>
      <c r="B372" s="1" t="s">
        <v>1337</v>
      </c>
      <c r="C372" s="1" t="s">
        <v>370</v>
      </c>
      <c r="D372" s="1" t="s">
        <v>1320</v>
      </c>
      <c r="E372" s="1">
        <v>25</v>
      </c>
      <c r="F3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2" s="1">
        <v>1</v>
      </c>
      <c r="H372" s="1">
        <v>1</v>
      </c>
      <c r="I372" s="1">
        <f>Tabela1[[#This Row],[Siblings and Spouses]]+Tabela1[[#This Row],[Parents and Children]]</f>
        <v>2</v>
      </c>
      <c r="J372" s="3">
        <v>30</v>
      </c>
      <c r="K3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2" s="2" t="s">
        <v>396</v>
      </c>
    </row>
    <row r="373" spans="1:12" x14ac:dyDescent="0.25">
      <c r="A373" s="1" t="s">
        <v>1350</v>
      </c>
      <c r="B373" s="1" t="s">
        <v>1337</v>
      </c>
      <c r="C373" s="1" t="s">
        <v>371</v>
      </c>
      <c r="D373" s="1" t="s">
        <v>1320</v>
      </c>
      <c r="E373" s="1">
        <v>45</v>
      </c>
      <c r="F3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73" s="1">
        <v>0</v>
      </c>
      <c r="H373" s="1">
        <v>2</v>
      </c>
      <c r="I373" s="1">
        <f>Tabela1[[#This Row],[Siblings and Spouses]]+Tabela1[[#This Row],[Parents and Children]]</f>
        <v>2</v>
      </c>
      <c r="J373" s="3">
        <v>30</v>
      </c>
      <c r="K3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3" s="2" t="s">
        <v>396</v>
      </c>
    </row>
    <row r="374" spans="1:12" x14ac:dyDescent="0.25">
      <c r="A374" s="1" t="s">
        <v>1350</v>
      </c>
      <c r="B374" s="1" t="s">
        <v>1348</v>
      </c>
      <c r="C374" s="1" t="s">
        <v>372</v>
      </c>
      <c r="D374" s="1" t="s">
        <v>1321</v>
      </c>
      <c r="E374" s="1">
        <v>29</v>
      </c>
      <c r="F3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4" s="1">
        <v>1</v>
      </c>
      <c r="H374" s="1">
        <v>0</v>
      </c>
      <c r="I374" s="1">
        <f>Tabela1[[#This Row],[Siblings and Spouses]]+Tabela1[[#This Row],[Parents and Children]]</f>
        <v>1</v>
      </c>
      <c r="J374" s="3">
        <v>26</v>
      </c>
      <c r="K3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4" s="2" t="s">
        <v>396</v>
      </c>
    </row>
    <row r="375" spans="1:12" x14ac:dyDescent="0.25">
      <c r="A375" s="1" t="s">
        <v>1350</v>
      </c>
      <c r="B375" s="1" t="s">
        <v>1337</v>
      </c>
      <c r="C375" s="1" t="s">
        <v>373</v>
      </c>
      <c r="D375" s="1" t="s">
        <v>1320</v>
      </c>
      <c r="E375" s="1">
        <v>28</v>
      </c>
      <c r="F3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5" s="1">
        <v>1</v>
      </c>
      <c r="H375" s="1">
        <v>0</v>
      </c>
      <c r="I375" s="1">
        <f>Tabela1[[#This Row],[Siblings and Spouses]]+Tabela1[[#This Row],[Parents and Children]]</f>
        <v>1</v>
      </c>
      <c r="J375" s="3">
        <v>26</v>
      </c>
      <c r="K3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5" s="2" t="s">
        <v>396</v>
      </c>
    </row>
    <row r="376" spans="1:12" x14ac:dyDescent="0.25">
      <c r="A376" s="1" t="s">
        <v>1350</v>
      </c>
      <c r="B376" s="1" t="s">
        <v>1348</v>
      </c>
      <c r="C376" s="1" t="s">
        <v>374</v>
      </c>
      <c r="D376" s="1" t="s">
        <v>1321</v>
      </c>
      <c r="E376" s="1">
        <v>29</v>
      </c>
      <c r="F3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6" s="1">
        <v>0</v>
      </c>
      <c r="H376" s="1">
        <v>0</v>
      </c>
      <c r="I376" s="1">
        <f>Tabela1[[#This Row],[Siblings and Spouses]]+Tabela1[[#This Row],[Parents and Children]]</f>
        <v>0</v>
      </c>
      <c r="J376" s="3">
        <v>10.5</v>
      </c>
      <c r="K3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76" s="2" t="s">
        <v>396</v>
      </c>
    </row>
    <row r="377" spans="1:12" x14ac:dyDescent="0.25">
      <c r="A377" s="1" t="s">
        <v>1350</v>
      </c>
      <c r="B377" s="1" t="s">
        <v>1348</v>
      </c>
      <c r="C377" s="1" t="s">
        <v>375</v>
      </c>
      <c r="D377" s="1" t="s">
        <v>1321</v>
      </c>
      <c r="E377" s="1">
        <v>28</v>
      </c>
      <c r="F3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7" s="1">
        <v>0</v>
      </c>
      <c r="H377" s="1">
        <v>0</v>
      </c>
      <c r="I377" s="1">
        <f>Tabela1[[#This Row],[Siblings and Spouses]]+Tabela1[[#This Row],[Parents and Children]]</f>
        <v>0</v>
      </c>
      <c r="J377" s="3">
        <v>13</v>
      </c>
      <c r="K3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77" s="2" t="s">
        <v>396</v>
      </c>
    </row>
    <row r="378" spans="1:12" x14ac:dyDescent="0.25">
      <c r="A378" s="1" t="s">
        <v>1350</v>
      </c>
      <c r="B378" s="1" t="s">
        <v>1337</v>
      </c>
      <c r="C378" s="1" t="s">
        <v>376</v>
      </c>
      <c r="D378" s="1" t="s">
        <v>1321</v>
      </c>
      <c r="E378" s="1">
        <v>24</v>
      </c>
      <c r="F3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78" s="1">
        <v>0</v>
      </c>
      <c r="H378" s="1">
        <v>0</v>
      </c>
      <c r="I378" s="1">
        <f>Tabela1[[#This Row],[Siblings and Spouses]]+Tabela1[[#This Row],[Parents and Children]]</f>
        <v>0</v>
      </c>
      <c r="J378" s="3">
        <v>10.5</v>
      </c>
      <c r="K3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78" s="2" t="s">
        <v>396</v>
      </c>
    </row>
    <row r="379" spans="1:12" x14ac:dyDescent="0.25">
      <c r="A379" s="1" t="s">
        <v>1350</v>
      </c>
      <c r="B379" s="1" t="s">
        <v>1337</v>
      </c>
      <c r="C379" s="1" t="s">
        <v>377</v>
      </c>
      <c r="D379" s="1" t="s">
        <v>1320</v>
      </c>
      <c r="E379" s="1">
        <v>8</v>
      </c>
      <c r="F3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79" s="1">
        <v>0</v>
      </c>
      <c r="H379" s="1">
        <v>2</v>
      </c>
      <c r="I379" s="1">
        <f>Tabela1[[#This Row],[Siblings and Spouses]]+Tabela1[[#This Row],[Parents and Children]]</f>
        <v>2</v>
      </c>
      <c r="J379" s="3">
        <v>26.25</v>
      </c>
      <c r="K3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79" s="2" t="s">
        <v>396</v>
      </c>
    </row>
    <row r="380" spans="1:12" x14ac:dyDescent="0.25">
      <c r="A380" s="1" t="s">
        <v>1350</v>
      </c>
      <c r="B380" s="1" t="s">
        <v>1348</v>
      </c>
      <c r="C380" s="1" t="s">
        <v>378</v>
      </c>
      <c r="D380" s="1" t="s">
        <v>1321</v>
      </c>
      <c r="E380" s="1">
        <v>31</v>
      </c>
      <c r="F3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80" s="1">
        <v>1</v>
      </c>
      <c r="H380" s="1">
        <v>1</v>
      </c>
      <c r="I380" s="1">
        <f>Tabela1[[#This Row],[Siblings and Spouses]]+Tabela1[[#This Row],[Parents and Children]]</f>
        <v>2</v>
      </c>
      <c r="J380" s="3">
        <v>26.25</v>
      </c>
      <c r="K3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80" s="2" t="s">
        <v>396</v>
      </c>
    </row>
    <row r="381" spans="1:12" x14ac:dyDescent="0.25">
      <c r="A381" s="1" t="s">
        <v>1350</v>
      </c>
      <c r="B381" s="1" t="s">
        <v>1337</v>
      </c>
      <c r="C381" s="1" t="s">
        <v>379</v>
      </c>
      <c r="D381" s="1" t="s">
        <v>1320</v>
      </c>
      <c r="E381" s="1">
        <v>31</v>
      </c>
      <c r="F3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81" s="1">
        <v>1</v>
      </c>
      <c r="H381" s="1">
        <v>1</v>
      </c>
      <c r="I381" s="1">
        <f>Tabela1[[#This Row],[Siblings and Spouses]]+Tabela1[[#This Row],[Parents and Children]]</f>
        <v>2</v>
      </c>
      <c r="J381" s="3">
        <v>26.25</v>
      </c>
      <c r="K3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81" s="2" t="s">
        <v>396</v>
      </c>
    </row>
    <row r="382" spans="1:12" x14ac:dyDescent="0.25">
      <c r="A382" s="1" t="s">
        <v>1350</v>
      </c>
      <c r="B382" s="1" t="s">
        <v>1337</v>
      </c>
      <c r="C382" s="1" t="s">
        <v>380</v>
      </c>
      <c r="D382" s="1" t="s">
        <v>1320</v>
      </c>
      <c r="E382" s="1">
        <v>22</v>
      </c>
      <c r="F3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82" s="1">
        <v>0</v>
      </c>
      <c r="H382" s="1">
        <v>0</v>
      </c>
      <c r="I382" s="1">
        <f>Tabela1[[#This Row],[Siblings and Spouses]]+Tabela1[[#This Row],[Parents and Children]]</f>
        <v>0</v>
      </c>
      <c r="J382" s="3">
        <v>10.5</v>
      </c>
      <c r="K3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82" s="2" t="s">
        <v>396</v>
      </c>
    </row>
    <row r="383" spans="1:12" x14ac:dyDescent="0.25">
      <c r="A383" s="1" t="s">
        <v>1350</v>
      </c>
      <c r="B383" s="1" t="s">
        <v>1348</v>
      </c>
      <c r="C383" s="1" t="s">
        <v>381</v>
      </c>
      <c r="D383" s="1" t="s">
        <v>1320</v>
      </c>
      <c r="E383" s="1">
        <v>30</v>
      </c>
      <c r="F3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83" s="1">
        <v>0</v>
      </c>
      <c r="H383" s="1">
        <v>0</v>
      </c>
      <c r="I383" s="1">
        <f>Tabela1[[#This Row],[Siblings and Spouses]]+Tabela1[[#This Row],[Parents and Children]]</f>
        <v>0</v>
      </c>
      <c r="J383" s="3">
        <v>13</v>
      </c>
      <c r="K3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83" s="2" t="s">
        <v>396</v>
      </c>
    </row>
    <row r="384" spans="1:12" x14ac:dyDescent="0.25">
      <c r="A384" s="1" t="s">
        <v>1350</v>
      </c>
      <c r="B384" s="1" t="s">
        <v>1348</v>
      </c>
      <c r="C384" s="1" t="s">
        <v>382</v>
      </c>
      <c r="D384" s="1" t="s">
        <v>1320</v>
      </c>
      <c r="E384" s="1" t="s">
        <v>1323</v>
      </c>
      <c r="F3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384" s="1">
        <v>0</v>
      </c>
      <c r="H384" s="1">
        <v>0</v>
      </c>
      <c r="I384" s="1">
        <f>Tabela1[[#This Row],[Siblings and Spouses]]+Tabela1[[#This Row],[Parents and Children]]</f>
        <v>0</v>
      </c>
      <c r="J384" s="3">
        <v>21</v>
      </c>
      <c r="K3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84" s="2" t="s">
        <v>396</v>
      </c>
    </row>
    <row r="385" spans="1:12" x14ac:dyDescent="0.25">
      <c r="A385" s="1" t="s">
        <v>1350</v>
      </c>
      <c r="B385" s="1" t="s">
        <v>1348</v>
      </c>
      <c r="C385" s="1" t="s">
        <v>383</v>
      </c>
      <c r="D385" s="1" t="s">
        <v>1321</v>
      </c>
      <c r="E385" s="1">
        <v>21</v>
      </c>
      <c r="F3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85" s="1">
        <v>0</v>
      </c>
      <c r="H385" s="1">
        <v>0</v>
      </c>
      <c r="I385" s="1">
        <f>Tabela1[[#This Row],[Siblings and Spouses]]+Tabela1[[#This Row],[Parents and Children]]</f>
        <v>0</v>
      </c>
      <c r="J385" s="3">
        <v>11.5</v>
      </c>
      <c r="K3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85" s="2" t="s">
        <v>396</v>
      </c>
    </row>
    <row r="386" spans="1:12" x14ac:dyDescent="0.25">
      <c r="A386" s="1" t="s">
        <v>1350</v>
      </c>
      <c r="B386" s="1" t="s">
        <v>1348</v>
      </c>
      <c r="C386" s="1" t="s">
        <v>384</v>
      </c>
      <c r="D386" s="1" t="s">
        <v>1321</v>
      </c>
      <c r="E386" s="1" t="s">
        <v>1323</v>
      </c>
      <c r="F3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386" s="1">
        <v>0</v>
      </c>
      <c r="H386" s="1">
        <v>0</v>
      </c>
      <c r="I386" s="1">
        <f>Tabela1[[#This Row],[Siblings and Spouses]]+Tabela1[[#This Row],[Parents and Children]]</f>
        <v>0</v>
      </c>
      <c r="J386" s="3">
        <v>0</v>
      </c>
      <c r="K3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386" s="2" t="s">
        <v>396</v>
      </c>
    </row>
    <row r="387" spans="1:12" x14ac:dyDescent="0.25">
      <c r="A387" s="1" t="s">
        <v>1350</v>
      </c>
      <c r="B387" s="1" t="s">
        <v>1337</v>
      </c>
      <c r="C387" s="1" t="s">
        <v>385</v>
      </c>
      <c r="D387" s="1" t="s">
        <v>1321</v>
      </c>
      <c r="E387" s="1">
        <v>8</v>
      </c>
      <c r="F3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87" s="1">
        <v>1</v>
      </c>
      <c r="H387" s="1">
        <v>1</v>
      </c>
      <c r="I387" s="1">
        <f>Tabela1[[#This Row],[Siblings and Spouses]]+Tabela1[[#This Row],[Parents and Children]]</f>
        <v>2</v>
      </c>
      <c r="J387" s="3">
        <v>36.75</v>
      </c>
      <c r="K3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87" s="2" t="s">
        <v>396</v>
      </c>
    </row>
    <row r="388" spans="1:12" x14ac:dyDescent="0.25">
      <c r="A388" s="1" t="s">
        <v>1350</v>
      </c>
      <c r="B388" s="1" t="s">
        <v>1348</v>
      </c>
      <c r="C388" s="1" t="s">
        <v>386</v>
      </c>
      <c r="D388" s="1" t="s">
        <v>1321</v>
      </c>
      <c r="E388" s="1">
        <v>18</v>
      </c>
      <c r="F3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88" s="1">
        <v>0</v>
      </c>
      <c r="H388" s="1">
        <v>0</v>
      </c>
      <c r="I388" s="1">
        <f>Tabela1[[#This Row],[Siblings and Spouses]]+Tabela1[[#This Row],[Parents and Children]]</f>
        <v>0</v>
      </c>
      <c r="J388" s="3">
        <v>73.5</v>
      </c>
      <c r="K3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88" s="2" t="s">
        <v>396</v>
      </c>
    </row>
    <row r="389" spans="1:12" x14ac:dyDescent="0.25">
      <c r="A389" s="1" t="s">
        <v>1350</v>
      </c>
      <c r="B389" s="1" t="s">
        <v>1337</v>
      </c>
      <c r="C389" s="1" t="s">
        <v>387</v>
      </c>
      <c r="D389" s="1" t="s">
        <v>1320</v>
      </c>
      <c r="E389" s="1">
        <v>48</v>
      </c>
      <c r="F3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389" s="1">
        <v>0</v>
      </c>
      <c r="H389" s="1">
        <v>2</v>
      </c>
      <c r="I389" s="1">
        <f>Tabela1[[#This Row],[Siblings and Spouses]]+Tabela1[[#This Row],[Parents and Children]]</f>
        <v>2</v>
      </c>
      <c r="J389" s="3">
        <v>36.75</v>
      </c>
      <c r="K3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89" s="2" t="s">
        <v>396</v>
      </c>
    </row>
    <row r="390" spans="1:12" x14ac:dyDescent="0.25">
      <c r="A390" s="1" t="s">
        <v>1350</v>
      </c>
      <c r="B390" s="1" t="s">
        <v>1337</v>
      </c>
      <c r="C390" s="1" t="s">
        <v>388</v>
      </c>
      <c r="D390" s="1" t="s">
        <v>1320</v>
      </c>
      <c r="E390" s="1">
        <v>28</v>
      </c>
      <c r="F3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90" s="1">
        <v>0</v>
      </c>
      <c r="H390" s="1">
        <v>0</v>
      </c>
      <c r="I390" s="1">
        <f>Tabela1[[#This Row],[Siblings and Spouses]]+Tabela1[[#This Row],[Parents and Children]]</f>
        <v>0</v>
      </c>
      <c r="J390" s="3">
        <v>13</v>
      </c>
      <c r="K3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90" s="2" t="s">
        <v>396</v>
      </c>
    </row>
    <row r="391" spans="1:12" x14ac:dyDescent="0.25">
      <c r="A391" s="1" t="s">
        <v>1350</v>
      </c>
      <c r="B391" s="1" t="s">
        <v>1348</v>
      </c>
      <c r="C391" s="1" t="s">
        <v>389</v>
      </c>
      <c r="D391" s="1" t="s">
        <v>1321</v>
      </c>
      <c r="E391" s="1">
        <v>32</v>
      </c>
      <c r="F3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91" s="1">
        <v>0</v>
      </c>
      <c r="H391" s="1">
        <v>0</v>
      </c>
      <c r="I391" s="1">
        <f>Tabela1[[#This Row],[Siblings and Spouses]]+Tabela1[[#This Row],[Parents and Children]]</f>
        <v>0</v>
      </c>
      <c r="J391" s="3">
        <v>13</v>
      </c>
      <c r="K3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91" s="2" t="s">
        <v>396</v>
      </c>
    </row>
    <row r="392" spans="1:12" x14ac:dyDescent="0.25">
      <c r="A392" s="1" t="s">
        <v>1350</v>
      </c>
      <c r="B392" s="1" t="s">
        <v>1348</v>
      </c>
      <c r="C392" s="1" t="s">
        <v>390</v>
      </c>
      <c r="D392" s="1" t="s">
        <v>1321</v>
      </c>
      <c r="E392" s="1">
        <v>17</v>
      </c>
      <c r="F3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92" s="1">
        <v>0</v>
      </c>
      <c r="H392" s="1">
        <v>0</v>
      </c>
      <c r="I392" s="1">
        <f>Tabela1[[#This Row],[Siblings and Spouses]]+Tabela1[[#This Row],[Parents and Children]]</f>
        <v>0</v>
      </c>
      <c r="J392" s="3">
        <v>73.5</v>
      </c>
      <c r="K3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92" s="2" t="s">
        <v>396</v>
      </c>
    </row>
    <row r="393" spans="1:12" x14ac:dyDescent="0.25">
      <c r="A393" s="1" t="s">
        <v>1350</v>
      </c>
      <c r="B393" s="1" t="s">
        <v>1348</v>
      </c>
      <c r="C393" s="1" t="s">
        <v>391</v>
      </c>
      <c r="D393" s="1" t="s">
        <v>1321</v>
      </c>
      <c r="E393" s="1">
        <v>29</v>
      </c>
      <c r="F3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93" s="1">
        <v>1</v>
      </c>
      <c r="H393" s="1">
        <v>0</v>
      </c>
      <c r="I393" s="1">
        <f>Tabela1[[#This Row],[Siblings and Spouses]]+Tabela1[[#This Row],[Parents and Children]]</f>
        <v>1</v>
      </c>
      <c r="J393" s="3">
        <v>27.720800000000001</v>
      </c>
      <c r="K3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93" s="2" t="s">
        <v>1318</v>
      </c>
    </row>
    <row r="394" spans="1:12" x14ac:dyDescent="0.25">
      <c r="A394" s="1" t="s">
        <v>1350</v>
      </c>
      <c r="B394" s="1" t="s">
        <v>1337</v>
      </c>
      <c r="C394" s="1" t="s">
        <v>392</v>
      </c>
      <c r="D394" s="1" t="s">
        <v>1320</v>
      </c>
      <c r="E394" s="1">
        <v>24</v>
      </c>
      <c r="F3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94" s="1">
        <v>1</v>
      </c>
      <c r="H394" s="1">
        <v>0</v>
      </c>
      <c r="I394" s="1">
        <f>Tabela1[[#This Row],[Siblings and Spouses]]+Tabela1[[#This Row],[Parents and Children]]</f>
        <v>1</v>
      </c>
      <c r="J394" s="3">
        <v>27.720800000000001</v>
      </c>
      <c r="K3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94" s="2" t="s">
        <v>1318</v>
      </c>
    </row>
    <row r="395" spans="1:12" x14ac:dyDescent="0.25">
      <c r="A395" s="1" t="s">
        <v>1350</v>
      </c>
      <c r="B395" s="1" t="s">
        <v>1348</v>
      </c>
      <c r="C395" s="1" t="s">
        <v>393</v>
      </c>
      <c r="D395" s="1" t="s">
        <v>1321</v>
      </c>
      <c r="E395" s="1">
        <v>25</v>
      </c>
      <c r="F3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395" s="1">
        <v>0</v>
      </c>
      <c r="H395" s="1">
        <v>0</v>
      </c>
      <c r="I395" s="1">
        <f>Tabela1[[#This Row],[Siblings and Spouses]]+Tabela1[[#This Row],[Parents and Children]]</f>
        <v>0</v>
      </c>
      <c r="J395" s="3">
        <v>31.5</v>
      </c>
      <c r="K3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95" s="2" t="s">
        <v>396</v>
      </c>
    </row>
    <row r="396" spans="1:12" x14ac:dyDescent="0.25">
      <c r="A396" s="1" t="s">
        <v>1350</v>
      </c>
      <c r="B396" s="1" t="s">
        <v>1348</v>
      </c>
      <c r="C396" s="1" t="s">
        <v>394</v>
      </c>
      <c r="D396" s="1" t="s">
        <v>1321</v>
      </c>
      <c r="E396" s="1">
        <v>18</v>
      </c>
      <c r="F3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96" s="1">
        <v>0</v>
      </c>
      <c r="H396" s="1">
        <v>0</v>
      </c>
      <c r="I396" s="1">
        <f>Tabela1[[#This Row],[Siblings and Spouses]]+Tabela1[[#This Row],[Parents and Children]]</f>
        <v>0</v>
      </c>
      <c r="J396" s="3">
        <v>73.5</v>
      </c>
      <c r="K3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396" s="2" t="s">
        <v>396</v>
      </c>
    </row>
    <row r="397" spans="1:12" x14ac:dyDescent="0.25">
      <c r="A397" s="1" t="s">
        <v>1350</v>
      </c>
      <c r="B397" s="1" t="s">
        <v>1337</v>
      </c>
      <c r="C397" s="1" t="s">
        <v>395</v>
      </c>
      <c r="D397" s="1" t="s">
        <v>1320</v>
      </c>
      <c r="E397" s="1">
        <v>18</v>
      </c>
      <c r="F3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397" s="1">
        <v>0</v>
      </c>
      <c r="H397" s="1">
        <v>1</v>
      </c>
      <c r="I397" s="1">
        <f>Tabela1[[#This Row],[Siblings and Spouses]]+Tabela1[[#This Row],[Parents and Children]]</f>
        <v>1</v>
      </c>
      <c r="J397" s="3">
        <v>23</v>
      </c>
      <c r="K3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97" s="2" t="s">
        <v>396</v>
      </c>
    </row>
    <row r="398" spans="1:12" x14ac:dyDescent="0.25">
      <c r="A398" s="1" t="s">
        <v>1350</v>
      </c>
      <c r="B398" s="1" t="s">
        <v>1337</v>
      </c>
      <c r="C398" s="1" t="s">
        <v>397</v>
      </c>
      <c r="D398" s="1" t="s">
        <v>1320</v>
      </c>
      <c r="E398" s="1">
        <v>34</v>
      </c>
      <c r="F3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398" s="1">
        <v>0</v>
      </c>
      <c r="H398" s="1">
        <v>1</v>
      </c>
      <c r="I398" s="1">
        <f>Tabela1[[#This Row],[Siblings and Spouses]]+Tabela1[[#This Row],[Parents and Children]]</f>
        <v>1</v>
      </c>
      <c r="J398" s="3">
        <v>23</v>
      </c>
      <c r="K3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398" s="2" t="s">
        <v>396</v>
      </c>
    </row>
    <row r="399" spans="1:12" x14ac:dyDescent="0.25">
      <c r="A399" s="1" t="s">
        <v>1350</v>
      </c>
      <c r="B399" s="1" t="s">
        <v>1348</v>
      </c>
      <c r="C399" s="1" t="s">
        <v>398</v>
      </c>
      <c r="D399" s="1" t="s">
        <v>1321</v>
      </c>
      <c r="E399" s="1">
        <v>54</v>
      </c>
      <c r="F3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399" s="1">
        <v>0</v>
      </c>
      <c r="H399" s="1">
        <v>0</v>
      </c>
      <c r="I399" s="1">
        <f>Tabela1[[#This Row],[Siblings and Spouses]]+Tabela1[[#This Row],[Parents and Children]]</f>
        <v>0</v>
      </c>
      <c r="J399" s="3">
        <v>26</v>
      </c>
      <c r="K3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399" s="2" t="s">
        <v>396</v>
      </c>
    </row>
    <row r="400" spans="1:12" x14ac:dyDescent="0.25">
      <c r="A400" s="1" t="s">
        <v>1350</v>
      </c>
      <c r="B400" s="1" t="s">
        <v>1337</v>
      </c>
      <c r="C400" s="1" t="s">
        <v>399</v>
      </c>
      <c r="D400" s="1" t="s">
        <v>1321</v>
      </c>
      <c r="E400" s="1">
        <v>8</v>
      </c>
      <c r="F4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00" s="1">
        <v>0</v>
      </c>
      <c r="H400" s="1">
        <v>2</v>
      </c>
      <c r="I400" s="1">
        <f>Tabela1[[#This Row],[Siblings and Spouses]]+Tabela1[[#This Row],[Parents and Children]]</f>
        <v>2</v>
      </c>
      <c r="J400" s="3">
        <v>32.5</v>
      </c>
      <c r="K4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00" s="2" t="s">
        <v>396</v>
      </c>
    </row>
    <row r="401" spans="1:12" x14ac:dyDescent="0.25">
      <c r="A401" s="1" t="s">
        <v>1350</v>
      </c>
      <c r="B401" s="1" t="s">
        <v>1348</v>
      </c>
      <c r="C401" s="1" t="s">
        <v>400</v>
      </c>
      <c r="D401" s="1" t="s">
        <v>1321</v>
      </c>
      <c r="E401" s="1">
        <v>42</v>
      </c>
      <c r="F4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01" s="1">
        <v>1</v>
      </c>
      <c r="H401" s="1">
        <v>1</v>
      </c>
      <c r="I401" s="1">
        <f>Tabela1[[#This Row],[Siblings and Spouses]]+Tabela1[[#This Row],[Parents and Children]]</f>
        <v>2</v>
      </c>
      <c r="J401" s="3">
        <v>32.5</v>
      </c>
      <c r="K4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01" s="2" t="s">
        <v>396</v>
      </c>
    </row>
    <row r="402" spans="1:12" x14ac:dyDescent="0.25">
      <c r="A402" s="1" t="s">
        <v>1350</v>
      </c>
      <c r="B402" s="1" t="s">
        <v>1337</v>
      </c>
      <c r="C402" s="1" t="s">
        <v>401</v>
      </c>
      <c r="D402" s="1" t="s">
        <v>1320</v>
      </c>
      <c r="E402" s="1">
        <v>34</v>
      </c>
      <c r="F4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02" s="1">
        <v>1</v>
      </c>
      <c r="H402" s="1">
        <v>1</v>
      </c>
      <c r="I402" s="1">
        <f>Tabela1[[#This Row],[Siblings and Spouses]]+Tabela1[[#This Row],[Parents and Children]]</f>
        <v>2</v>
      </c>
      <c r="J402" s="3">
        <v>32.5</v>
      </c>
      <c r="K4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02" s="2" t="s">
        <v>396</v>
      </c>
    </row>
    <row r="403" spans="1:12" x14ac:dyDescent="0.25">
      <c r="A403" s="1" t="s">
        <v>1350</v>
      </c>
      <c r="B403" s="1" t="s">
        <v>1337</v>
      </c>
      <c r="C403" s="1" t="s">
        <v>402</v>
      </c>
      <c r="D403" s="1" t="s">
        <v>1320</v>
      </c>
      <c r="E403" s="1">
        <v>27</v>
      </c>
      <c r="F4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03" s="1">
        <v>1</v>
      </c>
      <c r="H403" s="1">
        <v>0</v>
      </c>
      <c r="I403" s="1">
        <f>Tabela1[[#This Row],[Siblings and Spouses]]+Tabela1[[#This Row],[Parents and Children]]</f>
        <v>1</v>
      </c>
      <c r="J403" s="3">
        <v>13.8583</v>
      </c>
      <c r="K4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03" s="2" t="s">
        <v>1318</v>
      </c>
    </row>
    <row r="404" spans="1:12" x14ac:dyDescent="0.25">
      <c r="A404" s="1" t="s">
        <v>1350</v>
      </c>
      <c r="B404" s="1" t="s">
        <v>1337</v>
      </c>
      <c r="C404" s="1" t="s">
        <v>403</v>
      </c>
      <c r="D404" s="1" t="s">
        <v>1320</v>
      </c>
      <c r="E404" s="1">
        <v>30</v>
      </c>
      <c r="F4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04" s="1">
        <v>1</v>
      </c>
      <c r="H404" s="1">
        <v>0</v>
      </c>
      <c r="I404" s="1">
        <f>Tabela1[[#This Row],[Siblings and Spouses]]+Tabela1[[#This Row],[Parents and Children]]</f>
        <v>1</v>
      </c>
      <c r="J404" s="3">
        <v>13.8583</v>
      </c>
      <c r="K4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04" s="2" t="s">
        <v>1318</v>
      </c>
    </row>
    <row r="405" spans="1:12" x14ac:dyDescent="0.25">
      <c r="A405" s="1" t="s">
        <v>1350</v>
      </c>
      <c r="B405" s="1" t="s">
        <v>1348</v>
      </c>
      <c r="C405" s="1" t="s">
        <v>404</v>
      </c>
      <c r="D405" s="1" t="s">
        <v>1321</v>
      </c>
      <c r="E405" s="1">
        <v>23</v>
      </c>
      <c r="F4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05" s="1">
        <v>0</v>
      </c>
      <c r="H405" s="1">
        <v>0</v>
      </c>
      <c r="I405" s="1">
        <f>Tabela1[[#This Row],[Siblings and Spouses]]+Tabela1[[#This Row],[Parents and Children]]</f>
        <v>0</v>
      </c>
      <c r="J405" s="3">
        <v>13</v>
      </c>
      <c r="K4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05" s="2" t="s">
        <v>396</v>
      </c>
    </row>
    <row r="406" spans="1:12" x14ac:dyDescent="0.25">
      <c r="A406" s="1" t="s">
        <v>1350</v>
      </c>
      <c r="B406" s="1" t="s">
        <v>1348</v>
      </c>
      <c r="C406" s="1" t="s">
        <v>405</v>
      </c>
      <c r="D406" s="1" t="s">
        <v>1321</v>
      </c>
      <c r="E406" s="1">
        <v>21</v>
      </c>
      <c r="F4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06" s="1">
        <v>0</v>
      </c>
      <c r="H406" s="1">
        <v>0</v>
      </c>
      <c r="I406" s="1">
        <f>Tabela1[[#This Row],[Siblings and Spouses]]+Tabela1[[#This Row],[Parents and Children]]</f>
        <v>0</v>
      </c>
      <c r="J406" s="3">
        <v>13</v>
      </c>
      <c r="K4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06" s="2" t="s">
        <v>396</v>
      </c>
    </row>
    <row r="407" spans="1:12" x14ac:dyDescent="0.25">
      <c r="A407" s="1" t="s">
        <v>1350</v>
      </c>
      <c r="B407" s="1" t="s">
        <v>1348</v>
      </c>
      <c r="C407" s="1" t="s">
        <v>406</v>
      </c>
      <c r="D407" s="1" t="s">
        <v>1321</v>
      </c>
      <c r="E407" s="1">
        <v>18</v>
      </c>
      <c r="F4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07" s="1">
        <v>0</v>
      </c>
      <c r="H407" s="1">
        <v>0</v>
      </c>
      <c r="I407" s="1">
        <f>Tabela1[[#This Row],[Siblings and Spouses]]+Tabela1[[#This Row],[Parents and Children]]</f>
        <v>0</v>
      </c>
      <c r="J407" s="3">
        <v>13</v>
      </c>
      <c r="K4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07" s="2" t="s">
        <v>396</v>
      </c>
    </row>
    <row r="408" spans="1:12" x14ac:dyDescent="0.25">
      <c r="A408" s="1" t="s">
        <v>1350</v>
      </c>
      <c r="B408" s="1" t="s">
        <v>1348</v>
      </c>
      <c r="C408" s="1" t="s">
        <v>407</v>
      </c>
      <c r="D408" s="1" t="s">
        <v>1321</v>
      </c>
      <c r="E408" s="1">
        <v>40</v>
      </c>
      <c r="F4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08" s="1">
        <v>1</v>
      </c>
      <c r="H408" s="1">
        <v>0</v>
      </c>
      <c r="I408" s="1">
        <f>Tabela1[[#This Row],[Siblings and Spouses]]+Tabela1[[#This Row],[Parents and Children]]</f>
        <v>1</v>
      </c>
      <c r="J408" s="3">
        <v>26</v>
      </c>
      <c r="K4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08" s="2" t="s">
        <v>396</v>
      </c>
    </row>
    <row r="409" spans="1:12" x14ac:dyDescent="0.25">
      <c r="A409" s="1" t="s">
        <v>1350</v>
      </c>
      <c r="B409" s="1" t="s">
        <v>1337</v>
      </c>
      <c r="C409" s="1" t="s">
        <v>408</v>
      </c>
      <c r="D409" s="1" t="s">
        <v>1320</v>
      </c>
      <c r="E409" s="1">
        <v>29</v>
      </c>
      <c r="F4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09" s="1">
        <v>1</v>
      </c>
      <c r="H409" s="1">
        <v>0</v>
      </c>
      <c r="I409" s="1">
        <f>Tabela1[[#This Row],[Siblings and Spouses]]+Tabela1[[#This Row],[Parents and Children]]</f>
        <v>1</v>
      </c>
      <c r="J409" s="3">
        <v>26</v>
      </c>
      <c r="K4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09" s="2" t="s">
        <v>396</v>
      </c>
    </row>
    <row r="410" spans="1:12" x14ac:dyDescent="0.25">
      <c r="A410" s="1" t="s">
        <v>1350</v>
      </c>
      <c r="B410" s="1" t="s">
        <v>1348</v>
      </c>
      <c r="C410" s="1" t="s">
        <v>409</v>
      </c>
      <c r="D410" s="1" t="s">
        <v>1321</v>
      </c>
      <c r="E410" s="1">
        <v>18</v>
      </c>
      <c r="F4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10" s="1">
        <v>0</v>
      </c>
      <c r="H410" s="1">
        <v>0</v>
      </c>
      <c r="I410" s="1">
        <f>Tabela1[[#This Row],[Siblings and Spouses]]+Tabela1[[#This Row],[Parents and Children]]</f>
        <v>0</v>
      </c>
      <c r="J410" s="3">
        <v>10.5</v>
      </c>
      <c r="K4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0" s="2" t="s">
        <v>396</v>
      </c>
    </row>
    <row r="411" spans="1:12" x14ac:dyDescent="0.25">
      <c r="A411" s="1" t="s">
        <v>1350</v>
      </c>
      <c r="B411" s="1" t="s">
        <v>1348</v>
      </c>
      <c r="C411" s="1" t="s">
        <v>410</v>
      </c>
      <c r="D411" s="1" t="s">
        <v>1321</v>
      </c>
      <c r="E411" s="1">
        <v>36</v>
      </c>
      <c r="F4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11" s="1">
        <v>0</v>
      </c>
      <c r="H411" s="1">
        <v>0</v>
      </c>
      <c r="I411" s="1">
        <f>Tabela1[[#This Row],[Siblings and Spouses]]+Tabela1[[#This Row],[Parents and Children]]</f>
        <v>0</v>
      </c>
      <c r="J411" s="3">
        <v>13</v>
      </c>
      <c r="K4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1" s="2" t="s">
        <v>396</v>
      </c>
    </row>
    <row r="412" spans="1:12" x14ac:dyDescent="0.25">
      <c r="A412" s="1" t="s">
        <v>1350</v>
      </c>
      <c r="B412" s="1" t="s">
        <v>1348</v>
      </c>
      <c r="C412" s="1" t="s">
        <v>411</v>
      </c>
      <c r="D412" s="1" t="s">
        <v>1321</v>
      </c>
      <c r="E412" s="1" t="s">
        <v>1323</v>
      </c>
      <c r="F4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12" s="1">
        <v>0</v>
      </c>
      <c r="H412" s="1">
        <v>0</v>
      </c>
      <c r="I412" s="1">
        <f>Tabela1[[#This Row],[Siblings and Spouses]]+Tabela1[[#This Row],[Parents and Children]]</f>
        <v>0</v>
      </c>
      <c r="J412" s="3">
        <v>0</v>
      </c>
      <c r="K4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412" s="2" t="s">
        <v>396</v>
      </c>
    </row>
    <row r="413" spans="1:12" x14ac:dyDescent="0.25">
      <c r="A413" s="1" t="s">
        <v>1350</v>
      </c>
      <c r="B413" s="1" t="s">
        <v>1348</v>
      </c>
      <c r="C413" s="1" t="s">
        <v>412</v>
      </c>
      <c r="D413" s="1" t="s">
        <v>1320</v>
      </c>
      <c r="E413" s="1">
        <v>38</v>
      </c>
      <c r="F4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13" s="1">
        <v>0</v>
      </c>
      <c r="H413" s="1">
        <v>0</v>
      </c>
      <c r="I413" s="1">
        <f>Tabela1[[#This Row],[Siblings and Spouses]]+Tabela1[[#This Row],[Parents and Children]]</f>
        <v>0</v>
      </c>
      <c r="J413" s="3">
        <v>13</v>
      </c>
      <c r="K4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3" s="2" t="s">
        <v>396</v>
      </c>
    </row>
    <row r="414" spans="1:12" x14ac:dyDescent="0.25">
      <c r="A414" s="1" t="s">
        <v>1350</v>
      </c>
      <c r="B414" s="1" t="s">
        <v>1348</v>
      </c>
      <c r="C414" s="1" t="s">
        <v>413</v>
      </c>
      <c r="D414" s="1" t="s">
        <v>1321</v>
      </c>
      <c r="E414" s="1">
        <v>35</v>
      </c>
      <c r="F4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14" s="1">
        <v>0</v>
      </c>
      <c r="H414" s="1">
        <v>0</v>
      </c>
      <c r="I414" s="1">
        <f>Tabela1[[#This Row],[Siblings and Spouses]]+Tabela1[[#This Row],[Parents and Children]]</f>
        <v>0</v>
      </c>
      <c r="J414" s="3">
        <v>26</v>
      </c>
      <c r="K4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14" s="2" t="s">
        <v>396</v>
      </c>
    </row>
    <row r="415" spans="1:12" x14ac:dyDescent="0.25">
      <c r="A415" s="1" t="s">
        <v>1350</v>
      </c>
      <c r="B415" s="1" t="s">
        <v>1348</v>
      </c>
      <c r="C415" s="1" t="s">
        <v>414</v>
      </c>
      <c r="D415" s="1" t="s">
        <v>1321</v>
      </c>
      <c r="E415" s="1">
        <v>38</v>
      </c>
      <c r="F4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15" s="1">
        <v>1</v>
      </c>
      <c r="H415" s="1">
        <v>0</v>
      </c>
      <c r="I415" s="1">
        <f>Tabela1[[#This Row],[Siblings and Spouses]]+Tabela1[[#This Row],[Parents and Children]]</f>
        <v>1</v>
      </c>
      <c r="J415" s="3">
        <v>21</v>
      </c>
      <c r="K4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5" s="2" t="s">
        <v>396</v>
      </c>
    </row>
    <row r="416" spans="1:12" x14ac:dyDescent="0.25">
      <c r="A416" s="1" t="s">
        <v>1350</v>
      </c>
      <c r="B416" s="1" t="s">
        <v>1348</v>
      </c>
      <c r="C416" s="1" t="s">
        <v>415</v>
      </c>
      <c r="D416" s="1" t="s">
        <v>1321</v>
      </c>
      <c r="E416" s="1">
        <v>34</v>
      </c>
      <c r="F4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16" s="1">
        <v>1</v>
      </c>
      <c r="H416" s="1">
        <v>0</v>
      </c>
      <c r="I416" s="1">
        <f>Tabela1[[#This Row],[Siblings and Spouses]]+Tabela1[[#This Row],[Parents and Children]]</f>
        <v>1</v>
      </c>
      <c r="J416" s="3">
        <v>21</v>
      </c>
      <c r="K4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6" s="2" t="s">
        <v>396</v>
      </c>
    </row>
    <row r="417" spans="1:12" x14ac:dyDescent="0.25">
      <c r="A417" s="1" t="s">
        <v>1350</v>
      </c>
      <c r="B417" s="1" t="s">
        <v>1337</v>
      </c>
      <c r="C417" s="1" t="s">
        <v>416</v>
      </c>
      <c r="D417" s="1" t="s">
        <v>1320</v>
      </c>
      <c r="E417" s="1">
        <v>34</v>
      </c>
      <c r="F4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17" s="1">
        <v>0</v>
      </c>
      <c r="H417" s="1">
        <v>0</v>
      </c>
      <c r="I417" s="1">
        <f>Tabela1[[#This Row],[Siblings and Spouses]]+Tabela1[[#This Row],[Parents and Children]]</f>
        <v>0</v>
      </c>
      <c r="J417" s="3">
        <v>13</v>
      </c>
      <c r="K4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7" s="2" t="s">
        <v>396</v>
      </c>
    </row>
    <row r="418" spans="1:12" x14ac:dyDescent="0.25">
      <c r="A418" s="1" t="s">
        <v>1350</v>
      </c>
      <c r="B418" s="1" t="s">
        <v>1348</v>
      </c>
      <c r="C418" s="1" t="s">
        <v>417</v>
      </c>
      <c r="D418" s="1" t="s">
        <v>1321</v>
      </c>
      <c r="E418" s="1">
        <v>16</v>
      </c>
      <c r="F4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18" s="1">
        <v>0</v>
      </c>
      <c r="H418" s="1">
        <v>0</v>
      </c>
      <c r="I418" s="1">
        <f>Tabela1[[#This Row],[Siblings and Spouses]]+Tabela1[[#This Row],[Parents and Children]]</f>
        <v>0</v>
      </c>
      <c r="J418" s="3">
        <v>26</v>
      </c>
      <c r="K4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18" s="2" t="s">
        <v>396</v>
      </c>
    </row>
    <row r="419" spans="1:12" x14ac:dyDescent="0.25">
      <c r="A419" s="1" t="s">
        <v>1350</v>
      </c>
      <c r="B419" s="1" t="s">
        <v>1348</v>
      </c>
      <c r="C419" s="1" t="s">
        <v>418</v>
      </c>
      <c r="D419" s="1" t="s">
        <v>1321</v>
      </c>
      <c r="E419" s="1">
        <v>26</v>
      </c>
      <c r="F4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19" s="1">
        <v>0</v>
      </c>
      <c r="H419" s="1">
        <v>0</v>
      </c>
      <c r="I419" s="1">
        <f>Tabela1[[#This Row],[Siblings and Spouses]]+Tabela1[[#This Row],[Parents and Children]]</f>
        <v>0</v>
      </c>
      <c r="J419" s="3">
        <v>10.5</v>
      </c>
      <c r="K4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19" s="2" t="s">
        <v>396</v>
      </c>
    </row>
    <row r="420" spans="1:12" x14ac:dyDescent="0.25">
      <c r="A420" s="1" t="s">
        <v>1350</v>
      </c>
      <c r="B420" s="1" t="s">
        <v>1348</v>
      </c>
      <c r="C420" s="1" t="s">
        <v>419</v>
      </c>
      <c r="D420" s="1" t="s">
        <v>1321</v>
      </c>
      <c r="E420" s="1">
        <v>47</v>
      </c>
      <c r="F4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20" s="1">
        <v>0</v>
      </c>
      <c r="H420" s="1">
        <v>0</v>
      </c>
      <c r="I420" s="1">
        <f>Tabela1[[#This Row],[Siblings and Spouses]]+Tabela1[[#This Row],[Parents and Children]]</f>
        <v>0</v>
      </c>
      <c r="J420" s="3">
        <v>10.5</v>
      </c>
      <c r="K4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0" s="2" t="s">
        <v>396</v>
      </c>
    </row>
    <row r="421" spans="1:12" x14ac:dyDescent="0.25">
      <c r="A421" s="1" t="s">
        <v>1350</v>
      </c>
      <c r="B421" s="1" t="s">
        <v>1348</v>
      </c>
      <c r="C421" s="1" t="s">
        <v>420</v>
      </c>
      <c r="D421" s="1" t="s">
        <v>1321</v>
      </c>
      <c r="E421" s="1">
        <v>21</v>
      </c>
      <c r="F4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21" s="1">
        <v>1</v>
      </c>
      <c r="H421" s="1">
        <v>0</v>
      </c>
      <c r="I421" s="1">
        <f>Tabela1[[#This Row],[Siblings and Spouses]]+Tabela1[[#This Row],[Parents and Children]]</f>
        <v>1</v>
      </c>
      <c r="J421" s="3">
        <v>11.5</v>
      </c>
      <c r="K4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1" s="2" t="s">
        <v>396</v>
      </c>
    </row>
    <row r="422" spans="1:12" x14ac:dyDescent="0.25">
      <c r="A422" s="1" t="s">
        <v>1350</v>
      </c>
      <c r="B422" s="1" t="s">
        <v>1348</v>
      </c>
      <c r="C422" s="1" t="s">
        <v>421</v>
      </c>
      <c r="D422" s="1" t="s">
        <v>1321</v>
      </c>
      <c r="E422" s="1">
        <v>21</v>
      </c>
      <c r="F4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22" s="1">
        <v>1</v>
      </c>
      <c r="H422" s="1">
        <v>0</v>
      </c>
      <c r="I422" s="1">
        <f>Tabela1[[#This Row],[Siblings and Spouses]]+Tabela1[[#This Row],[Parents and Children]]</f>
        <v>1</v>
      </c>
      <c r="J422" s="3">
        <v>11.5</v>
      </c>
      <c r="K4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2" s="2" t="s">
        <v>396</v>
      </c>
    </row>
    <row r="423" spans="1:12" x14ac:dyDescent="0.25">
      <c r="A423" s="1" t="s">
        <v>1350</v>
      </c>
      <c r="B423" s="1" t="s">
        <v>1348</v>
      </c>
      <c r="C423" s="1" t="s">
        <v>422</v>
      </c>
      <c r="D423" s="1" t="s">
        <v>1321</v>
      </c>
      <c r="E423" s="1">
        <v>24</v>
      </c>
      <c r="F4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23" s="1">
        <v>0</v>
      </c>
      <c r="H423" s="1">
        <v>0</v>
      </c>
      <c r="I423" s="1">
        <f>Tabela1[[#This Row],[Siblings and Spouses]]+Tabela1[[#This Row],[Parents and Children]]</f>
        <v>0</v>
      </c>
      <c r="J423" s="3">
        <v>13.5</v>
      </c>
      <c r="K4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3" s="2" t="s">
        <v>396</v>
      </c>
    </row>
    <row r="424" spans="1:12" x14ac:dyDescent="0.25">
      <c r="A424" s="1" t="s">
        <v>1350</v>
      </c>
      <c r="B424" s="1" t="s">
        <v>1348</v>
      </c>
      <c r="C424" s="1" t="s">
        <v>423</v>
      </c>
      <c r="D424" s="1" t="s">
        <v>1321</v>
      </c>
      <c r="E424" s="1">
        <v>24</v>
      </c>
      <c r="F4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24" s="1">
        <v>0</v>
      </c>
      <c r="H424" s="1">
        <v>0</v>
      </c>
      <c r="I424" s="1">
        <f>Tabela1[[#This Row],[Siblings and Spouses]]+Tabela1[[#This Row],[Parents and Children]]</f>
        <v>0</v>
      </c>
      <c r="J424" s="3">
        <v>13</v>
      </c>
      <c r="K4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4" s="2" t="s">
        <v>396</v>
      </c>
    </row>
    <row r="425" spans="1:12" x14ac:dyDescent="0.25">
      <c r="A425" s="1" t="s">
        <v>1350</v>
      </c>
      <c r="B425" s="1" t="s">
        <v>1348</v>
      </c>
      <c r="C425" s="1" t="s">
        <v>424</v>
      </c>
      <c r="D425" s="1" t="s">
        <v>1321</v>
      </c>
      <c r="E425" s="1">
        <v>34</v>
      </c>
      <c r="F4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25" s="1">
        <v>0</v>
      </c>
      <c r="H425" s="1">
        <v>0</v>
      </c>
      <c r="I425" s="1">
        <f>Tabela1[[#This Row],[Siblings and Spouses]]+Tabela1[[#This Row],[Parents and Children]]</f>
        <v>0</v>
      </c>
      <c r="J425" s="3">
        <v>13</v>
      </c>
      <c r="K4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5" s="2" t="s">
        <v>396</v>
      </c>
    </row>
    <row r="426" spans="1:12" x14ac:dyDescent="0.25">
      <c r="A426" s="1" t="s">
        <v>1350</v>
      </c>
      <c r="B426" s="1" t="s">
        <v>1348</v>
      </c>
      <c r="C426" s="1" t="s">
        <v>425</v>
      </c>
      <c r="D426" s="1" t="s">
        <v>1321</v>
      </c>
      <c r="E426" s="1">
        <v>30</v>
      </c>
      <c r="F4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26" s="1">
        <v>0</v>
      </c>
      <c r="H426" s="1">
        <v>0</v>
      </c>
      <c r="I426" s="1">
        <f>Tabela1[[#This Row],[Siblings and Spouses]]+Tabela1[[#This Row],[Parents and Children]]</f>
        <v>0</v>
      </c>
      <c r="J426" s="3">
        <v>13</v>
      </c>
      <c r="K4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6" s="2" t="s">
        <v>396</v>
      </c>
    </row>
    <row r="427" spans="1:12" x14ac:dyDescent="0.25">
      <c r="A427" s="1" t="s">
        <v>1350</v>
      </c>
      <c r="B427" s="1" t="s">
        <v>1348</v>
      </c>
      <c r="C427" s="1" t="s">
        <v>426</v>
      </c>
      <c r="D427" s="1" t="s">
        <v>1321</v>
      </c>
      <c r="E427" s="1">
        <v>52</v>
      </c>
      <c r="F4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27" s="1">
        <v>0</v>
      </c>
      <c r="H427" s="1">
        <v>0</v>
      </c>
      <c r="I427" s="1">
        <f>Tabela1[[#This Row],[Siblings and Spouses]]+Tabela1[[#This Row],[Parents and Children]]</f>
        <v>0</v>
      </c>
      <c r="J427" s="3">
        <v>13</v>
      </c>
      <c r="K4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7" s="2" t="s">
        <v>396</v>
      </c>
    </row>
    <row r="428" spans="1:12" x14ac:dyDescent="0.25">
      <c r="A428" s="1" t="s">
        <v>1350</v>
      </c>
      <c r="B428" s="1" t="s">
        <v>1348</v>
      </c>
      <c r="C428" s="1" t="s">
        <v>427</v>
      </c>
      <c r="D428" s="1" t="s">
        <v>1321</v>
      </c>
      <c r="E428" s="1">
        <v>30</v>
      </c>
      <c r="F4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28" s="1">
        <v>0</v>
      </c>
      <c r="H428" s="1">
        <v>0</v>
      </c>
      <c r="I428" s="1">
        <f>Tabela1[[#This Row],[Siblings and Spouses]]+Tabela1[[#This Row],[Parents and Children]]</f>
        <v>0</v>
      </c>
      <c r="J428" s="3">
        <v>13</v>
      </c>
      <c r="K4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8" s="2" t="s">
        <v>396</v>
      </c>
    </row>
    <row r="429" spans="1:12" x14ac:dyDescent="0.25">
      <c r="A429" s="1" t="s">
        <v>1350</v>
      </c>
      <c r="B429" s="1" t="s">
        <v>1337</v>
      </c>
      <c r="C429" s="1" t="s">
        <v>428</v>
      </c>
      <c r="D429" s="1" t="s">
        <v>1321</v>
      </c>
      <c r="E429" s="1">
        <v>0.66669999999999996</v>
      </c>
      <c r="F4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29" s="1">
        <v>1</v>
      </c>
      <c r="H429" s="1">
        <v>1</v>
      </c>
      <c r="I429" s="1">
        <f>Tabela1[[#This Row],[Siblings and Spouses]]+Tabela1[[#This Row],[Parents and Children]]</f>
        <v>2</v>
      </c>
      <c r="J429" s="3">
        <v>14.5</v>
      </c>
      <c r="K4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29" s="2" t="s">
        <v>396</v>
      </c>
    </row>
    <row r="430" spans="1:12" x14ac:dyDescent="0.25">
      <c r="A430" s="1" t="s">
        <v>1350</v>
      </c>
      <c r="B430" s="1" t="s">
        <v>1337</v>
      </c>
      <c r="C430" s="1" t="s">
        <v>429</v>
      </c>
      <c r="D430" s="1" t="s">
        <v>1320</v>
      </c>
      <c r="E430" s="1">
        <v>24</v>
      </c>
      <c r="F4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30" s="1">
        <v>0</v>
      </c>
      <c r="H430" s="1">
        <v>2</v>
      </c>
      <c r="I430" s="1">
        <f>Tabela1[[#This Row],[Siblings and Spouses]]+Tabela1[[#This Row],[Parents and Children]]</f>
        <v>2</v>
      </c>
      <c r="J430" s="3">
        <v>14.5</v>
      </c>
      <c r="K4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30" s="2" t="s">
        <v>396</v>
      </c>
    </row>
    <row r="431" spans="1:12" x14ac:dyDescent="0.25">
      <c r="A431" s="1" t="s">
        <v>1350</v>
      </c>
      <c r="B431" s="1" t="s">
        <v>1348</v>
      </c>
      <c r="C431" s="1" t="s">
        <v>430</v>
      </c>
      <c r="D431" s="1" t="s">
        <v>1321</v>
      </c>
      <c r="E431" s="1">
        <v>44</v>
      </c>
      <c r="F4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31" s="1">
        <v>0</v>
      </c>
      <c r="H431" s="1">
        <v>0</v>
      </c>
      <c r="I431" s="1">
        <f>Tabela1[[#This Row],[Siblings and Spouses]]+Tabela1[[#This Row],[Parents and Children]]</f>
        <v>0</v>
      </c>
      <c r="J431" s="3">
        <v>13</v>
      </c>
      <c r="K4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31" s="2" t="s">
        <v>396</v>
      </c>
    </row>
    <row r="432" spans="1:12" x14ac:dyDescent="0.25">
      <c r="A432" s="1" t="s">
        <v>1350</v>
      </c>
      <c r="B432" s="1" t="s">
        <v>1337</v>
      </c>
      <c r="C432" s="1" t="s">
        <v>431</v>
      </c>
      <c r="D432" s="1" t="s">
        <v>1320</v>
      </c>
      <c r="E432" s="1">
        <v>6</v>
      </c>
      <c r="F4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32" s="1">
        <v>0</v>
      </c>
      <c r="H432" s="1">
        <v>1</v>
      </c>
      <c r="I432" s="1">
        <f>Tabela1[[#This Row],[Siblings and Spouses]]+Tabela1[[#This Row],[Parents and Children]]</f>
        <v>1</v>
      </c>
      <c r="J432" s="3">
        <v>33</v>
      </c>
      <c r="K4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32" s="2" t="s">
        <v>396</v>
      </c>
    </row>
    <row r="433" spans="1:12" x14ac:dyDescent="0.25">
      <c r="A433" s="1" t="s">
        <v>1350</v>
      </c>
      <c r="B433" s="1" t="s">
        <v>1348</v>
      </c>
      <c r="C433" s="1" t="s">
        <v>432</v>
      </c>
      <c r="D433" s="1" t="s">
        <v>1321</v>
      </c>
      <c r="E433" s="1">
        <v>28</v>
      </c>
      <c r="F4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33" s="1">
        <v>0</v>
      </c>
      <c r="H433" s="1">
        <v>1</v>
      </c>
      <c r="I433" s="1">
        <f>Tabela1[[#This Row],[Siblings and Spouses]]+Tabela1[[#This Row],[Parents and Children]]</f>
        <v>1</v>
      </c>
      <c r="J433" s="3">
        <v>33</v>
      </c>
      <c r="K4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33" s="2" t="s">
        <v>396</v>
      </c>
    </row>
    <row r="434" spans="1:12" x14ac:dyDescent="0.25">
      <c r="A434" s="1" t="s">
        <v>1350</v>
      </c>
      <c r="B434" s="1" t="s">
        <v>1337</v>
      </c>
      <c r="C434" s="1" t="s">
        <v>433</v>
      </c>
      <c r="D434" s="1" t="s">
        <v>1321</v>
      </c>
      <c r="E434" s="1">
        <v>62</v>
      </c>
      <c r="F4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434" s="1">
        <v>0</v>
      </c>
      <c r="H434" s="1">
        <v>0</v>
      </c>
      <c r="I434" s="1">
        <f>Tabela1[[#This Row],[Siblings and Spouses]]+Tabela1[[#This Row],[Parents and Children]]</f>
        <v>0</v>
      </c>
      <c r="J434" s="3">
        <v>10.5</v>
      </c>
      <c r="K4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34" s="2" t="s">
        <v>396</v>
      </c>
    </row>
    <row r="435" spans="1:12" x14ac:dyDescent="0.25">
      <c r="A435" s="1" t="s">
        <v>1350</v>
      </c>
      <c r="B435" s="1" t="s">
        <v>1348</v>
      </c>
      <c r="C435" s="1" t="s">
        <v>434</v>
      </c>
      <c r="D435" s="1" t="s">
        <v>1321</v>
      </c>
      <c r="E435" s="1">
        <v>30</v>
      </c>
      <c r="F4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35" s="1">
        <v>0</v>
      </c>
      <c r="H435" s="1">
        <v>0</v>
      </c>
      <c r="I435" s="1">
        <f>Tabela1[[#This Row],[Siblings and Spouses]]+Tabela1[[#This Row],[Parents and Children]]</f>
        <v>0</v>
      </c>
      <c r="J435" s="3">
        <v>10.5</v>
      </c>
      <c r="K4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35" s="2" t="s">
        <v>396</v>
      </c>
    </row>
    <row r="436" spans="1:12" x14ac:dyDescent="0.25">
      <c r="A436" s="1" t="s">
        <v>1350</v>
      </c>
      <c r="B436" s="1" t="s">
        <v>1337</v>
      </c>
      <c r="C436" s="1" t="s">
        <v>435</v>
      </c>
      <c r="D436" s="1" t="s">
        <v>1320</v>
      </c>
      <c r="E436" s="1">
        <v>7</v>
      </c>
      <c r="F4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36" s="1">
        <v>0</v>
      </c>
      <c r="H436" s="1">
        <v>2</v>
      </c>
      <c r="I436" s="1">
        <f>Tabela1[[#This Row],[Siblings and Spouses]]+Tabela1[[#This Row],[Parents and Children]]</f>
        <v>2</v>
      </c>
      <c r="J436" s="3">
        <v>26.25</v>
      </c>
      <c r="K4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36" s="2" t="s">
        <v>396</v>
      </c>
    </row>
    <row r="437" spans="1:12" x14ac:dyDescent="0.25">
      <c r="A437" s="1" t="s">
        <v>1350</v>
      </c>
      <c r="B437" s="1" t="s">
        <v>1348</v>
      </c>
      <c r="C437" s="1" t="s">
        <v>436</v>
      </c>
      <c r="D437" s="1" t="s">
        <v>1321</v>
      </c>
      <c r="E437" s="1">
        <v>43</v>
      </c>
      <c r="F4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37" s="1">
        <v>1</v>
      </c>
      <c r="H437" s="1">
        <v>1</v>
      </c>
      <c r="I437" s="1">
        <f>Tabela1[[#This Row],[Siblings and Spouses]]+Tabela1[[#This Row],[Parents and Children]]</f>
        <v>2</v>
      </c>
      <c r="J437" s="3">
        <v>26.25</v>
      </c>
      <c r="K4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37" s="2" t="s">
        <v>396</v>
      </c>
    </row>
    <row r="438" spans="1:12" x14ac:dyDescent="0.25">
      <c r="A438" s="1" t="s">
        <v>1350</v>
      </c>
      <c r="B438" s="1" t="s">
        <v>1337</v>
      </c>
      <c r="C438" s="1" t="s">
        <v>437</v>
      </c>
      <c r="D438" s="1" t="s">
        <v>1320</v>
      </c>
      <c r="E438" s="1">
        <v>45</v>
      </c>
      <c r="F4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38" s="1">
        <v>1</v>
      </c>
      <c r="H438" s="1">
        <v>1</v>
      </c>
      <c r="I438" s="1">
        <f>Tabela1[[#This Row],[Siblings and Spouses]]+Tabela1[[#This Row],[Parents and Children]]</f>
        <v>2</v>
      </c>
      <c r="J438" s="3">
        <v>26.25</v>
      </c>
      <c r="K4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38" s="2" t="s">
        <v>396</v>
      </c>
    </row>
    <row r="439" spans="1:12" x14ac:dyDescent="0.25">
      <c r="A439" s="1" t="s">
        <v>1350</v>
      </c>
      <c r="B439" s="1" t="s">
        <v>1337</v>
      </c>
      <c r="C439" s="1" t="s">
        <v>438</v>
      </c>
      <c r="D439" s="1" t="s">
        <v>1320</v>
      </c>
      <c r="E439" s="1">
        <v>24</v>
      </c>
      <c r="F4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39" s="1">
        <v>1</v>
      </c>
      <c r="H439" s="1">
        <v>2</v>
      </c>
      <c r="I439" s="1">
        <f>Tabela1[[#This Row],[Siblings and Spouses]]+Tabela1[[#This Row],[Parents and Children]]</f>
        <v>3</v>
      </c>
      <c r="J439" s="3">
        <v>65</v>
      </c>
      <c r="K4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39" s="2" t="s">
        <v>396</v>
      </c>
    </row>
    <row r="440" spans="1:12" x14ac:dyDescent="0.25">
      <c r="A440" s="1" t="s">
        <v>1350</v>
      </c>
      <c r="B440" s="1" t="s">
        <v>1337</v>
      </c>
      <c r="C440" s="1" t="s">
        <v>439</v>
      </c>
      <c r="D440" s="1" t="s">
        <v>1320</v>
      </c>
      <c r="E440" s="1">
        <v>24</v>
      </c>
      <c r="F4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40" s="1">
        <v>1</v>
      </c>
      <c r="H440" s="1">
        <v>2</v>
      </c>
      <c r="I440" s="1">
        <f>Tabela1[[#This Row],[Siblings and Spouses]]+Tabela1[[#This Row],[Parents and Children]]</f>
        <v>3</v>
      </c>
      <c r="J440" s="3">
        <v>65</v>
      </c>
      <c r="K4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0" s="2" t="s">
        <v>396</v>
      </c>
    </row>
    <row r="441" spans="1:12" x14ac:dyDescent="0.25">
      <c r="A441" s="1" t="s">
        <v>1350</v>
      </c>
      <c r="B441" s="1" t="s">
        <v>1348</v>
      </c>
      <c r="C441" s="1" t="s">
        <v>440</v>
      </c>
      <c r="D441" s="1" t="s">
        <v>1321</v>
      </c>
      <c r="E441" s="1">
        <v>49</v>
      </c>
      <c r="F4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41" s="1">
        <v>1</v>
      </c>
      <c r="H441" s="1">
        <v>2</v>
      </c>
      <c r="I441" s="1">
        <f>Tabela1[[#This Row],[Siblings and Spouses]]+Tabela1[[#This Row],[Parents and Children]]</f>
        <v>3</v>
      </c>
      <c r="J441" s="3">
        <v>65</v>
      </c>
      <c r="K4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1" s="2" t="s">
        <v>396</v>
      </c>
    </row>
    <row r="442" spans="1:12" x14ac:dyDescent="0.25">
      <c r="A442" s="1" t="s">
        <v>1350</v>
      </c>
      <c r="B442" s="1" t="s">
        <v>1337</v>
      </c>
      <c r="C442" s="1" t="s">
        <v>441</v>
      </c>
      <c r="D442" s="1" t="s">
        <v>1320</v>
      </c>
      <c r="E442" s="1">
        <v>48</v>
      </c>
      <c r="F4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42" s="1">
        <v>1</v>
      </c>
      <c r="H442" s="1">
        <v>2</v>
      </c>
      <c r="I442" s="1">
        <f>Tabela1[[#This Row],[Siblings and Spouses]]+Tabela1[[#This Row],[Parents and Children]]</f>
        <v>3</v>
      </c>
      <c r="J442" s="3">
        <v>65</v>
      </c>
      <c r="K4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2" s="2" t="s">
        <v>396</v>
      </c>
    </row>
    <row r="443" spans="1:12" x14ac:dyDescent="0.25">
      <c r="A443" s="1" t="s">
        <v>1350</v>
      </c>
      <c r="B443" s="1" t="s">
        <v>1337</v>
      </c>
      <c r="C443" s="1" t="s">
        <v>442</v>
      </c>
      <c r="D443" s="1" t="s">
        <v>1320</v>
      </c>
      <c r="E443" s="1">
        <v>55</v>
      </c>
      <c r="F4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43" s="1">
        <v>0</v>
      </c>
      <c r="H443" s="1">
        <v>0</v>
      </c>
      <c r="I443" s="1">
        <f>Tabela1[[#This Row],[Siblings and Spouses]]+Tabela1[[#This Row],[Parents and Children]]</f>
        <v>0</v>
      </c>
      <c r="J443" s="3">
        <v>16</v>
      </c>
      <c r="K4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43" s="2" t="s">
        <v>396</v>
      </c>
    </row>
    <row r="444" spans="1:12" x14ac:dyDescent="0.25">
      <c r="A444" s="1" t="s">
        <v>1350</v>
      </c>
      <c r="B444" s="1" t="s">
        <v>1348</v>
      </c>
      <c r="C444" s="1" t="s">
        <v>443</v>
      </c>
      <c r="D444" s="1" t="s">
        <v>1321</v>
      </c>
      <c r="E444" s="1">
        <v>24</v>
      </c>
      <c r="F4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44" s="1">
        <v>2</v>
      </c>
      <c r="H444" s="1">
        <v>0</v>
      </c>
      <c r="I444" s="1">
        <f>Tabela1[[#This Row],[Siblings and Spouses]]+Tabela1[[#This Row],[Parents and Children]]</f>
        <v>2</v>
      </c>
      <c r="J444" s="3">
        <v>73.5</v>
      </c>
      <c r="K4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4" s="2" t="s">
        <v>396</v>
      </c>
    </row>
    <row r="445" spans="1:12" x14ac:dyDescent="0.25">
      <c r="A445" s="1" t="s">
        <v>1350</v>
      </c>
      <c r="B445" s="1" t="s">
        <v>1348</v>
      </c>
      <c r="C445" s="1" t="s">
        <v>444</v>
      </c>
      <c r="D445" s="1" t="s">
        <v>1321</v>
      </c>
      <c r="E445" s="1">
        <v>32</v>
      </c>
      <c r="F4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45" s="1">
        <v>2</v>
      </c>
      <c r="H445" s="1">
        <v>0</v>
      </c>
      <c r="I445" s="1">
        <f>Tabela1[[#This Row],[Siblings and Spouses]]+Tabela1[[#This Row],[Parents and Children]]</f>
        <v>2</v>
      </c>
      <c r="J445" s="3">
        <v>73.5</v>
      </c>
      <c r="K4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5" s="2" t="s">
        <v>396</v>
      </c>
    </row>
    <row r="446" spans="1:12" x14ac:dyDescent="0.25">
      <c r="A446" s="1" t="s">
        <v>1350</v>
      </c>
      <c r="B446" s="1" t="s">
        <v>1348</v>
      </c>
      <c r="C446" s="1" t="s">
        <v>445</v>
      </c>
      <c r="D446" s="1" t="s">
        <v>1321</v>
      </c>
      <c r="E446" s="1">
        <v>21</v>
      </c>
      <c r="F4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46" s="1">
        <v>2</v>
      </c>
      <c r="H446" s="1">
        <v>0</v>
      </c>
      <c r="I446" s="1">
        <f>Tabela1[[#This Row],[Siblings and Spouses]]+Tabela1[[#This Row],[Parents and Children]]</f>
        <v>2</v>
      </c>
      <c r="J446" s="3">
        <v>73.5</v>
      </c>
      <c r="K4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46" s="2" t="s">
        <v>396</v>
      </c>
    </row>
    <row r="447" spans="1:12" x14ac:dyDescent="0.25">
      <c r="A447" s="1" t="s">
        <v>1350</v>
      </c>
      <c r="B447" s="1" t="s">
        <v>1348</v>
      </c>
      <c r="C447" s="1" t="s">
        <v>446</v>
      </c>
      <c r="D447" s="1" t="s">
        <v>1320</v>
      </c>
      <c r="E447" s="1">
        <v>18</v>
      </c>
      <c r="F4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47" s="1">
        <v>1</v>
      </c>
      <c r="H447" s="1">
        <v>1</v>
      </c>
      <c r="I447" s="1">
        <f>Tabela1[[#This Row],[Siblings and Spouses]]+Tabela1[[#This Row],[Parents and Children]]</f>
        <v>2</v>
      </c>
      <c r="J447" s="3">
        <v>13</v>
      </c>
      <c r="K4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47" s="2" t="s">
        <v>396</v>
      </c>
    </row>
    <row r="448" spans="1:12" x14ac:dyDescent="0.25">
      <c r="A448" s="1" t="s">
        <v>1350</v>
      </c>
      <c r="B448" s="1" t="s">
        <v>1337</v>
      </c>
      <c r="C448" s="1" t="s">
        <v>447</v>
      </c>
      <c r="D448" s="1" t="s">
        <v>1320</v>
      </c>
      <c r="E448" s="1">
        <v>20</v>
      </c>
      <c r="F4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48" s="1">
        <v>2</v>
      </c>
      <c r="H448" s="1">
        <v>1</v>
      </c>
      <c r="I448" s="1">
        <f>Tabela1[[#This Row],[Siblings and Spouses]]+Tabela1[[#This Row],[Parents and Children]]</f>
        <v>3</v>
      </c>
      <c r="J448" s="3">
        <v>23</v>
      </c>
      <c r="K4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48" s="2" t="s">
        <v>396</v>
      </c>
    </row>
    <row r="449" spans="1:12" x14ac:dyDescent="0.25">
      <c r="A449" s="1" t="s">
        <v>1350</v>
      </c>
      <c r="B449" s="1" t="s">
        <v>1348</v>
      </c>
      <c r="C449" s="1" t="s">
        <v>448</v>
      </c>
      <c r="D449" s="1" t="s">
        <v>1321</v>
      </c>
      <c r="E449" s="1">
        <v>23</v>
      </c>
      <c r="F4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49" s="1">
        <v>2</v>
      </c>
      <c r="H449" s="1">
        <v>1</v>
      </c>
      <c r="I449" s="1">
        <f>Tabela1[[#This Row],[Siblings and Spouses]]+Tabela1[[#This Row],[Parents and Children]]</f>
        <v>3</v>
      </c>
      <c r="J449" s="3">
        <v>11.5</v>
      </c>
      <c r="K4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49" s="2" t="s">
        <v>396</v>
      </c>
    </row>
    <row r="450" spans="1:12" x14ac:dyDescent="0.25">
      <c r="A450" s="1" t="s">
        <v>1350</v>
      </c>
      <c r="B450" s="1" t="s">
        <v>1348</v>
      </c>
      <c r="C450" s="1" t="s">
        <v>449</v>
      </c>
      <c r="D450" s="1" t="s">
        <v>1321</v>
      </c>
      <c r="E450" s="1">
        <v>36</v>
      </c>
      <c r="F4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50" s="1">
        <v>0</v>
      </c>
      <c r="H450" s="1">
        <v>0</v>
      </c>
      <c r="I450" s="1">
        <f>Tabela1[[#This Row],[Siblings and Spouses]]+Tabela1[[#This Row],[Parents and Children]]</f>
        <v>0</v>
      </c>
      <c r="J450" s="3">
        <v>13</v>
      </c>
      <c r="K4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50" s="2" t="s">
        <v>396</v>
      </c>
    </row>
    <row r="451" spans="1:12" x14ac:dyDescent="0.25">
      <c r="A451" s="1" t="s">
        <v>1350</v>
      </c>
      <c r="B451" s="1" t="s">
        <v>1337</v>
      </c>
      <c r="C451" s="1" t="s">
        <v>450</v>
      </c>
      <c r="D451" s="1" t="s">
        <v>1320</v>
      </c>
      <c r="E451" s="1">
        <v>54</v>
      </c>
      <c r="F4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51" s="1">
        <v>1</v>
      </c>
      <c r="H451" s="1">
        <v>3</v>
      </c>
      <c r="I451" s="1">
        <f>Tabela1[[#This Row],[Siblings and Spouses]]+Tabela1[[#This Row],[Parents and Children]]</f>
        <v>4</v>
      </c>
      <c r="J451" s="3">
        <v>23</v>
      </c>
      <c r="K4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51" s="2" t="s">
        <v>396</v>
      </c>
    </row>
    <row r="452" spans="1:12" x14ac:dyDescent="0.25">
      <c r="A452" s="1" t="s">
        <v>1350</v>
      </c>
      <c r="B452" s="1" t="s">
        <v>1348</v>
      </c>
      <c r="C452" s="1" t="s">
        <v>451</v>
      </c>
      <c r="D452" s="1" t="s">
        <v>1321</v>
      </c>
      <c r="E452" s="1">
        <v>50</v>
      </c>
      <c r="F4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52" s="1">
        <v>0</v>
      </c>
      <c r="H452" s="1">
        <v>0</v>
      </c>
      <c r="I452" s="1">
        <f>Tabela1[[#This Row],[Siblings and Spouses]]+Tabela1[[#This Row],[Parents and Children]]</f>
        <v>0</v>
      </c>
      <c r="J452" s="3">
        <v>13</v>
      </c>
      <c r="K4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52" s="2" t="s">
        <v>396</v>
      </c>
    </row>
    <row r="453" spans="1:12" x14ac:dyDescent="0.25">
      <c r="A453" s="1" t="s">
        <v>1350</v>
      </c>
      <c r="B453" s="1" t="s">
        <v>1348</v>
      </c>
      <c r="C453" s="1" t="s">
        <v>452</v>
      </c>
      <c r="D453" s="1" t="s">
        <v>1321</v>
      </c>
      <c r="E453" s="1">
        <v>44</v>
      </c>
      <c r="F4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53" s="1">
        <v>1</v>
      </c>
      <c r="H453" s="1">
        <v>0</v>
      </c>
      <c r="I453" s="1">
        <f>Tabela1[[#This Row],[Siblings and Spouses]]+Tabela1[[#This Row],[Parents and Children]]</f>
        <v>1</v>
      </c>
      <c r="J453" s="3">
        <v>26</v>
      </c>
      <c r="K4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53" s="2" t="s">
        <v>396</v>
      </c>
    </row>
    <row r="454" spans="1:12" x14ac:dyDescent="0.25">
      <c r="A454" s="1" t="s">
        <v>1350</v>
      </c>
      <c r="B454" s="1" t="s">
        <v>1337</v>
      </c>
      <c r="C454" s="1" t="s">
        <v>453</v>
      </c>
      <c r="D454" s="1" t="s">
        <v>1320</v>
      </c>
      <c r="E454" s="1">
        <v>29</v>
      </c>
      <c r="F4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54" s="1">
        <v>1</v>
      </c>
      <c r="H454" s="1">
        <v>0</v>
      </c>
      <c r="I454" s="1">
        <f>Tabela1[[#This Row],[Siblings and Spouses]]+Tabela1[[#This Row],[Parents and Children]]</f>
        <v>1</v>
      </c>
      <c r="J454" s="3">
        <v>26</v>
      </c>
      <c r="K4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54" s="2" t="s">
        <v>396</v>
      </c>
    </row>
    <row r="455" spans="1:12" x14ac:dyDescent="0.25">
      <c r="A455" s="1" t="s">
        <v>1350</v>
      </c>
      <c r="B455" s="1" t="s">
        <v>1348</v>
      </c>
      <c r="C455" s="1" t="s">
        <v>454</v>
      </c>
      <c r="D455" s="1" t="s">
        <v>1321</v>
      </c>
      <c r="E455" s="1">
        <v>21</v>
      </c>
      <c r="F4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55" s="1">
        <v>0</v>
      </c>
      <c r="H455" s="1">
        <v>0</v>
      </c>
      <c r="I455" s="1">
        <f>Tabela1[[#This Row],[Siblings and Spouses]]+Tabela1[[#This Row],[Parents and Children]]</f>
        <v>0</v>
      </c>
      <c r="J455" s="3">
        <v>73.5</v>
      </c>
      <c r="K4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455" s="2" t="s">
        <v>396</v>
      </c>
    </row>
    <row r="456" spans="1:12" x14ac:dyDescent="0.25">
      <c r="A456" s="1" t="s">
        <v>1350</v>
      </c>
      <c r="B456" s="1" t="s">
        <v>1337</v>
      </c>
      <c r="C456" s="1" t="s">
        <v>455</v>
      </c>
      <c r="D456" s="1" t="s">
        <v>1321</v>
      </c>
      <c r="E456" s="1">
        <v>42</v>
      </c>
      <c r="F4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56" s="1">
        <v>0</v>
      </c>
      <c r="H456" s="1">
        <v>0</v>
      </c>
      <c r="I456" s="1">
        <f>Tabela1[[#This Row],[Siblings and Spouses]]+Tabela1[[#This Row],[Parents and Children]]</f>
        <v>0</v>
      </c>
      <c r="J456" s="3">
        <v>13</v>
      </c>
      <c r="K4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56" s="2" t="s">
        <v>396</v>
      </c>
    </row>
    <row r="457" spans="1:12" x14ac:dyDescent="0.25">
      <c r="A457" s="1" t="s">
        <v>1350</v>
      </c>
      <c r="B457" s="1" t="s">
        <v>1348</v>
      </c>
      <c r="C457" s="1" t="s">
        <v>456</v>
      </c>
      <c r="D457" s="1" t="s">
        <v>1321</v>
      </c>
      <c r="E457" s="1">
        <v>63</v>
      </c>
      <c r="F4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457" s="1">
        <v>1</v>
      </c>
      <c r="H457" s="1">
        <v>0</v>
      </c>
      <c r="I457" s="1">
        <f>Tabela1[[#This Row],[Siblings and Spouses]]+Tabela1[[#This Row],[Parents and Children]]</f>
        <v>1</v>
      </c>
      <c r="J457" s="3">
        <v>26</v>
      </c>
      <c r="K4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57" s="2" t="s">
        <v>396</v>
      </c>
    </row>
    <row r="458" spans="1:12" x14ac:dyDescent="0.25">
      <c r="A458" s="1" t="s">
        <v>1350</v>
      </c>
      <c r="B458" s="1" t="s">
        <v>1348</v>
      </c>
      <c r="C458" s="1" t="s">
        <v>457</v>
      </c>
      <c r="D458" s="1" t="s">
        <v>1320</v>
      </c>
      <c r="E458" s="1">
        <v>60</v>
      </c>
      <c r="F4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58" s="1">
        <v>1</v>
      </c>
      <c r="H458" s="1">
        <v>0</v>
      </c>
      <c r="I458" s="1">
        <f>Tabela1[[#This Row],[Siblings and Spouses]]+Tabela1[[#This Row],[Parents and Children]]</f>
        <v>1</v>
      </c>
      <c r="J458" s="3">
        <v>26</v>
      </c>
      <c r="K4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58" s="2" t="s">
        <v>396</v>
      </c>
    </row>
    <row r="459" spans="1:12" x14ac:dyDescent="0.25">
      <c r="A459" s="1" t="s">
        <v>1350</v>
      </c>
      <c r="B459" s="1" t="s">
        <v>1348</v>
      </c>
      <c r="C459" s="1" t="s">
        <v>458</v>
      </c>
      <c r="D459" s="1" t="s">
        <v>1321</v>
      </c>
      <c r="E459" s="1">
        <v>33</v>
      </c>
      <c r="F4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59" s="1">
        <v>0</v>
      </c>
      <c r="H459" s="1">
        <v>0</v>
      </c>
      <c r="I459" s="1">
        <f>Tabela1[[#This Row],[Siblings and Spouses]]+Tabela1[[#This Row],[Parents and Children]]</f>
        <v>0</v>
      </c>
      <c r="J459" s="3">
        <v>12.275</v>
      </c>
      <c r="K4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59" s="2" t="s">
        <v>396</v>
      </c>
    </row>
    <row r="460" spans="1:12" x14ac:dyDescent="0.25">
      <c r="A460" s="1" t="s">
        <v>1350</v>
      </c>
      <c r="B460" s="1" t="s">
        <v>1337</v>
      </c>
      <c r="C460" s="1" t="s">
        <v>459</v>
      </c>
      <c r="D460" s="1" t="s">
        <v>1320</v>
      </c>
      <c r="E460" s="1">
        <v>17</v>
      </c>
      <c r="F4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60" s="1">
        <v>0</v>
      </c>
      <c r="H460" s="1">
        <v>0</v>
      </c>
      <c r="I460" s="1">
        <f>Tabela1[[#This Row],[Siblings and Spouses]]+Tabela1[[#This Row],[Parents and Children]]</f>
        <v>0</v>
      </c>
      <c r="J460" s="3">
        <v>10.5</v>
      </c>
      <c r="K4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60" s="2" t="s">
        <v>396</v>
      </c>
    </row>
    <row r="461" spans="1:12" x14ac:dyDescent="0.25">
      <c r="A461" s="1" t="s">
        <v>1350</v>
      </c>
      <c r="B461" s="1" t="s">
        <v>1348</v>
      </c>
      <c r="C461" s="1" t="s">
        <v>460</v>
      </c>
      <c r="D461" s="1" t="s">
        <v>1321</v>
      </c>
      <c r="E461" s="1">
        <v>42</v>
      </c>
      <c r="F4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61" s="1">
        <v>1</v>
      </c>
      <c r="H461" s="1">
        <v>0</v>
      </c>
      <c r="I461" s="1">
        <f>Tabela1[[#This Row],[Siblings and Spouses]]+Tabela1[[#This Row],[Parents and Children]]</f>
        <v>1</v>
      </c>
      <c r="J461" s="3">
        <v>27</v>
      </c>
      <c r="K4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61" s="2" t="s">
        <v>396</v>
      </c>
    </row>
    <row r="462" spans="1:12" x14ac:dyDescent="0.25">
      <c r="A462" s="1" t="s">
        <v>1350</v>
      </c>
      <c r="B462" s="1" t="s">
        <v>1337</v>
      </c>
      <c r="C462" s="1" t="s">
        <v>461</v>
      </c>
      <c r="D462" s="1" t="s">
        <v>1320</v>
      </c>
      <c r="E462" s="1">
        <v>24</v>
      </c>
      <c r="F4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62" s="1">
        <v>2</v>
      </c>
      <c r="H462" s="1">
        <v>1</v>
      </c>
      <c r="I462" s="1">
        <f>Tabela1[[#This Row],[Siblings and Spouses]]+Tabela1[[#This Row],[Parents and Children]]</f>
        <v>3</v>
      </c>
      <c r="J462" s="3">
        <v>27</v>
      </c>
      <c r="K4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62" s="2" t="s">
        <v>396</v>
      </c>
    </row>
    <row r="463" spans="1:12" x14ac:dyDescent="0.25">
      <c r="A463" s="1" t="s">
        <v>1350</v>
      </c>
      <c r="B463" s="1" t="s">
        <v>1348</v>
      </c>
      <c r="C463" s="1" t="s">
        <v>462</v>
      </c>
      <c r="D463" s="1" t="s">
        <v>1321</v>
      </c>
      <c r="E463" s="1">
        <v>47</v>
      </c>
      <c r="F4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63" s="1">
        <v>0</v>
      </c>
      <c r="H463" s="1">
        <v>0</v>
      </c>
      <c r="I463" s="1">
        <f>Tabela1[[#This Row],[Siblings and Spouses]]+Tabela1[[#This Row],[Parents and Children]]</f>
        <v>0</v>
      </c>
      <c r="J463" s="3">
        <v>15</v>
      </c>
      <c r="K4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63" s="2" t="s">
        <v>396</v>
      </c>
    </row>
    <row r="464" spans="1:12" x14ac:dyDescent="0.25">
      <c r="A464" s="1" t="s">
        <v>1350</v>
      </c>
      <c r="B464" s="1" t="s">
        <v>1348</v>
      </c>
      <c r="C464" s="1" t="s">
        <v>463</v>
      </c>
      <c r="D464" s="1" t="s">
        <v>1321</v>
      </c>
      <c r="E464" s="1">
        <v>24</v>
      </c>
      <c r="F4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64" s="1">
        <v>2</v>
      </c>
      <c r="H464" s="1">
        <v>0</v>
      </c>
      <c r="I464" s="1">
        <f>Tabela1[[#This Row],[Siblings and Spouses]]+Tabela1[[#This Row],[Parents and Children]]</f>
        <v>2</v>
      </c>
      <c r="J464" s="3">
        <v>31.5</v>
      </c>
      <c r="K4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64" s="2" t="s">
        <v>396</v>
      </c>
    </row>
    <row r="465" spans="1:12" x14ac:dyDescent="0.25">
      <c r="A465" s="1" t="s">
        <v>1350</v>
      </c>
      <c r="B465" s="1" t="s">
        <v>1348</v>
      </c>
      <c r="C465" s="1" t="s">
        <v>464</v>
      </c>
      <c r="D465" s="1" t="s">
        <v>1321</v>
      </c>
      <c r="E465" s="1">
        <v>22</v>
      </c>
      <c r="F4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65" s="1">
        <v>2</v>
      </c>
      <c r="H465" s="1">
        <v>0</v>
      </c>
      <c r="I465" s="1">
        <f>Tabela1[[#This Row],[Siblings and Spouses]]+Tabela1[[#This Row],[Parents and Children]]</f>
        <v>2</v>
      </c>
      <c r="J465" s="3">
        <v>31.5</v>
      </c>
      <c r="K4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65" s="2" t="s">
        <v>396</v>
      </c>
    </row>
    <row r="466" spans="1:12" x14ac:dyDescent="0.25">
      <c r="A466" s="1" t="s">
        <v>1350</v>
      </c>
      <c r="B466" s="1" t="s">
        <v>1348</v>
      </c>
      <c r="C466" s="1" t="s">
        <v>465</v>
      </c>
      <c r="D466" s="1" t="s">
        <v>1321</v>
      </c>
      <c r="E466" s="1">
        <v>32</v>
      </c>
      <c r="F4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66" s="1">
        <v>0</v>
      </c>
      <c r="H466" s="1">
        <v>0</v>
      </c>
      <c r="I466" s="1">
        <f>Tabela1[[#This Row],[Siblings and Spouses]]+Tabela1[[#This Row],[Parents and Children]]</f>
        <v>0</v>
      </c>
      <c r="J466" s="3">
        <v>10.5</v>
      </c>
      <c r="K4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66" s="2" t="s">
        <v>396</v>
      </c>
    </row>
    <row r="467" spans="1:12" x14ac:dyDescent="0.25">
      <c r="A467" s="1" t="s">
        <v>1350</v>
      </c>
      <c r="B467" s="1" t="s">
        <v>1337</v>
      </c>
      <c r="C467" s="1" t="s">
        <v>466</v>
      </c>
      <c r="D467" s="1" t="s">
        <v>1320</v>
      </c>
      <c r="E467" s="1">
        <v>23</v>
      </c>
      <c r="F4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67" s="1">
        <v>0</v>
      </c>
      <c r="H467" s="1">
        <v>0</v>
      </c>
      <c r="I467" s="1">
        <f>Tabela1[[#This Row],[Siblings and Spouses]]+Tabela1[[#This Row],[Parents and Children]]</f>
        <v>0</v>
      </c>
      <c r="J467" s="3">
        <v>13.791700000000001</v>
      </c>
      <c r="K4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67" s="2" t="s">
        <v>1318</v>
      </c>
    </row>
    <row r="468" spans="1:12" x14ac:dyDescent="0.25">
      <c r="A468" s="1" t="s">
        <v>1350</v>
      </c>
      <c r="B468" s="1" t="s">
        <v>1348</v>
      </c>
      <c r="C468" s="1" t="s">
        <v>467</v>
      </c>
      <c r="D468" s="1" t="s">
        <v>1321</v>
      </c>
      <c r="E468" s="1">
        <v>34</v>
      </c>
      <c r="F4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68" s="1">
        <v>1</v>
      </c>
      <c r="H468" s="1">
        <v>0</v>
      </c>
      <c r="I468" s="1">
        <f>Tabela1[[#This Row],[Siblings and Spouses]]+Tabela1[[#This Row],[Parents and Children]]</f>
        <v>1</v>
      </c>
      <c r="J468" s="3">
        <v>26</v>
      </c>
      <c r="K4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68" s="2" t="s">
        <v>396</v>
      </c>
    </row>
    <row r="469" spans="1:12" x14ac:dyDescent="0.25">
      <c r="A469" s="1" t="s">
        <v>1350</v>
      </c>
      <c r="B469" s="1" t="s">
        <v>1337</v>
      </c>
      <c r="C469" s="1" t="s">
        <v>468</v>
      </c>
      <c r="D469" s="1" t="s">
        <v>1320</v>
      </c>
      <c r="E469" s="1">
        <v>24</v>
      </c>
      <c r="F4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69" s="1">
        <v>1</v>
      </c>
      <c r="H469" s="1">
        <v>0</v>
      </c>
      <c r="I469" s="1">
        <f>Tabela1[[#This Row],[Siblings and Spouses]]+Tabela1[[#This Row],[Parents and Children]]</f>
        <v>1</v>
      </c>
      <c r="J469" s="3">
        <v>26</v>
      </c>
      <c r="K4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69" s="2" t="s">
        <v>396</v>
      </c>
    </row>
    <row r="470" spans="1:12" x14ac:dyDescent="0.25">
      <c r="A470" s="1" t="s">
        <v>1350</v>
      </c>
      <c r="B470" s="1" t="s">
        <v>1348</v>
      </c>
      <c r="C470" s="1" t="s">
        <v>469</v>
      </c>
      <c r="D470" s="1" t="s">
        <v>1320</v>
      </c>
      <c r="E470" s="1">
        <v>22</v>
      </c>
      <c r="F4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70" s="1">
        <v>0</v>
      </c>
      <c r="H470" s="1">
        <v>0</v>
      </c>
      <c r="I470" s="1">
        <f>Tabela1[[#This Row],[Siblings and Spouses]]+Tabela1[[#This Row],[Parents and Children]]</f>
        <v>0</v>
      </c>
      <c r="J470" s="3">
        <v>21</v>
      </c>
      <c r="K4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0" s="2" t="s">
        <v>396</v>
      </c>
    </row>
    <row r="471" spans="1:12" x14ac:dyDescent="0.25">
      <c r="A471" s="1" t="s">
        <v>1350</v>
      </c>
      <c r="B471" s="1" t="s">
        <v>1337</v>
      </c>
      <c r="C471" s="1" t="s">
        <v>470</v>
      </c>
      <c r="D471" s="1" t="s">
        <v>1320</v>
      </c>
      <c r="E471" s="1" t="s">
        <v>1323</v>
      </c>
      <c r="F4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71" s="1">
        <v>0</v>
      </c>
      <c r="H471" s="1">
        <v>0</v>
      </c>
      <c r="I471" s="1">
        <f>Tabela1[[#This Row],[Siblings and Spouses]]+Tabela1[[#This Row],[Parents and Children]]</f>
        <v>0</v>
      </c>
      <c r="J471" s="3">
        <v>12.35</v>
      </c>
      <c r="K4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1" s="2" t="s">
        <v>1319</v>
      </c>
    </row>
    <row r="472" spans="1:12" x14ac:dyDescent="0.25">
      <c r="A472" s="1" t="s">
        <v>1350</v>
      </c>
      <c r="B472" s="1" t="s">
        <v>1348</v>
      </c>
      <c r="C472" s="1" t="s">
        <v>471</v>
      </c>
      <c r="D472" s="1" t="s">
        <v>1321</v>
      </c>
      <c r="E472" s="1">
        <v>35</v>
      </c>
      <c r="F4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72" s="1">
        <v>0</v>
      </c>
      <c r="H472" s="1">
        <v>0</v>
      </c>
      <c r="I472" s="1">
        <f>Tabela1[[#This Row],[Siblings and Spouses]]+Tabela1[[#This Row],[Parents and Children]]</f>
        <v>0</v>
      </c>
      <c r="J472" s="3">
        <v>12.35</v>
      </c>
      <c r="K4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2" s="2" t="s">
        <v>1319</v>
      </c>
    </row>
    <row r="473" spans="1:12" x14ac:dyDescent="0.25">
      <c r="A473" s="1" t="s">
        <v>1350</v>
      </c>
      <c r="B473" s="1" t="s">
        <v>1337</v>
      </c>
      <c r="C473" s="1" t="s">
        <v>472</v>
      </c>
      <c r="D473" s="1" t="s">
        <v>1320</v>
      </c>
      <c r="E473" s="1">
        <v>45</v>
      </c>
      <c r="F4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73" s="1">
        <v>0</v>
      </c>
      <c r="H473" s="1">
        <v>0</v>
      </c>
      <c r="I473" s="1">
        <f>Tabela1[[#This Row],[Siblings and Spouses]]+Tabela1[[#This Row],[Parents and Children]]</f>
        <v>0</v>
      </c>
      <c r="J473" s="3">
        <v>13.5</v>
      </c>
      <c r="K4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3" s="2" t="s">
        <v>396</v>
      </c>
    </row>
    <row r="474" spans="1:12" x14ac:dyDescent="0.25">
      <c r="A474" s="1" t="s">
        <v>1350</v>
      </c>
      <c r="B474" s="1" t="s">
        <v>1348</v>
      </c>
      <c r="C474" s="1" t="s">
        <v>473</v>
      </c>
      <c r="D474" s="1" t="s">
        <v>1321</v>
      </c>
      <c r="E474" s="1">
        <v>57</v>
      </c>
      <c r="F4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74" s="1">
        <v>0</v>
      </c>
      <c r="H474" s="1">
        <v>0</v>
      </c>
      <c r="I474" s="1">
        <f>Tabela1[[#This Row],[Siblings and Spouses]]+Tabela1[[#This Row],[Parents and Children]]</f>
        <v>0</v>
      </c>
      <c r="J474" s="3">
        <v>12.35</v>
      </c>
      <c r="K4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4" s="2" t="s">
        <v>1319</v>
      </c>
    </row>
    <row r="475" spans="1:12" x14ac:dyDescent="0.25">
      <c r="A475" s="1" t="s">
        <v>1350</v>
      </c>
      <c r="B475" s="1" t="s">
        <v>1348</v>
      </c>
      <c r="C475" s="1" t="s">
        <v>474</v>
      </c>
      <c r="D475" s="1" t="s">
        <v>1321</v>
      </c>
      <c r="E475" s="1" t="s">
        <v>1323</v>
      </c>
      <c r="F4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75" s="1">
        <v>0</v>
      </c>
      <c r="H475" s="1">
        <v>0</v>
      </c>
      <c r="I475" s="1">
        <f>Tabela1[[#This Row],[Siblings and Spouses]]+Tabela1[[#This Row],[Parents and Children]]</f>
        <v>0</v>
      </c>
      <c r="J475" s="3">
        <v>0</v>
      </c>
      <c r="K4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475" s="2" t="s">
        <v>396</v>
      </c>
    </row>
    <row r="476" spans="1:12" x14ac:dyDescent="0.25">
      <c r="A476" s="1" t="s">
        <v>1350</v>
      </c>
      <c r="B476" s="1" t="s">
        <v>1348</v>
      </c>
      <c r="C476" s="1" t="s">
        <v>475</v>
      </c>
      <c r="D476" s="1" t="s">
        <v>1321</v>
      </c>
      <c r="E476" s="1">
        <v>31</v>
      </c>
      <c r="F4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76" s="1">
        <v>0</v>
      </c>
      <c r="H476" s="1">
        <v>0</v>
      </c>
      <c r="I476" s="1">
        <f>Tabela1[[#This Row],[Siblings and Spouses]]+Tabela1[[#This Row],[Parents and Children]]</f>
        <v>0</v>
      </c>
      <c r="J476" s="3">
        <v>10.5</v>
      </c>
      <c r="K4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6" s="2" t="s">
        <v>396</v>
      </c>
    </row>
    <row r="477" spans="1:12" x14ac:dyDescent="0.25">
      <c r="A477" s="1" t="s">
        <v>1350</v>
      </c>
      <c r="B477" s="1" t="s">
        <v>1348</v>
      </c>
      <c r="C477" s="1" t="s">
        <v>476</v>
      </c>
      <c r="D477" s="1" t="s">
        <v>1320</v>
      </c>
      <c r="E477" s="1">
        <v>26</v>
      </c>
      <c r="F4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77" s="1">
        <v>1</v>
      </c>
      <c r="H477" s="1">
        <v>1</v>
      </c>
      <c r="I477" s="1">
        <f>Tabela1[[#This Row],[Siblings and Spouses]]+Tabela1[[#This Row],[Parents and Children]]</f>
        <v>2</v>
      </c>
      <c r="J477" s="3">
        <v>26</v>
      </c>
      <c r="K4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77" s="2" t="s">
        <v>396</v>
      </c>
    </row>
    <row r="478" spans="1:12" x14ac:dyDescent="0.25">
      <c r="A478" s="1" t="s">
        <v>1350</v>
      </c>
      <c r="B478" s="1" t="s">
        <v>1348</v>
      </c>
      <c r="C478" s="1" t="s">
        <v>477</v>
      </c>
      <c r="D478" s="1" t="s">
        <v>1321</v>
      </c>
      <c r="E478" s="1">
        <v>30</v>
      </c>
      <c r="F4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78" s="1">
        <v>1</v>
      </c>
      <c r="H478" s="1">
        <v>1</v>
      </c>
      <c r="I478" s="1">
        <f>Tabela1[[#This Row],[Siblings and Spouses]]+Tabela1[[#This Row],[Parents and Children]]</f>
        <v>2</v>
      </c>
      <c r="J478" s="3">
        <v>26</v>
      </c>
      <c r="K4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78" s="2" t="s">
        <v>396</v>
      </c>
    </row>
    <row r="479" spans="1:12" x14ac:dyDescent="0.25">
      <c r="A479" s="1" t="s">
        <v>1350</v>
      </c>
      <c r="B479" s="1" t="s">
        <v>1348</v>
      </c>
      <c r="C479" s="1" t="s">
        <v>478</v>
      </c>
      <c r="D479" s="1" t="s">
        <v>1321</v>
      </c>
      <c r="E479" s="1" t="s">
        <v>1323</v>
      </c>
      <c r="F4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79" s="1">
        <v>0</v>
      </c>
      <c r="H479" s="1">
        <v>0</v>
      </c>
      <c r="I479" s="1">
        <f>Tabela1[[#This Row],[Siblings and Spouses]]+Tabela1[[#This Row],[Parents and Children]]</f>
        <v>0</v>
      </c>
      <c r="J479" s="3">
        <v>10.708299999999999</v>
      </c>
      <c r="K4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79" s="2" t="s">
        <v>1319</v>
      </c>
    </row>
    <row r="480" spans="1:12" x14ac:dyDescent="0.25">
      <c r="A480" s="1" t="s">
        <v>1350</v>
      </c>
      <c r="B480" s="1" t="s">
        <v>1337</v>
      </c>
      <c r="C480" s="1" t="s">
        <v>479</v>
      </c>
      <c r="D480" s="1" t="s">
        <v>1320</v>
      </c>
      <c r="E480" s="1">
        <v>1</v>
      </c>
      <c r="F4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80" s="1">
        <v>1</v>
      </c>
      <c r="H480" s="1">
        <v>2</v>
      </c>
      <c r="I480" s="1">
        <f>Tabela1[[#This Row],[Siblings and Spouses]]+Tabela1[[#This Row],[Parents and Children]]</f>
        <v>3</v>
      </c>
      <c r="J480" s="3">
        <v>41.5792</v>
      </c>
      <c r="K4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80" s="2" t="s">
        <v>1318</v>
      </c>
    </row>
    <row r="481" spans="1:12" x14ac:dyDescent="0.25">
      <c r="A481" s="1" t="s">
        <v>1350</v>
      </c>
      <c r="B481" s="1" t="s">
        <v>1337</v>
      </c>
      <c r="C481" s="1" t="s">
        <v>480</v>
      </c>
      <c r="D481" s="1" t="s">
        <v>1320</v>
      </c>
      <c r="E481" s="1">
        <v>3</v>
      </c>
      <c r="F4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81" s="1">
        <v>1</v>
      </c>
      <c r="H481" s="1">
        <v>2</v>
      </c>
      <c r="I481" s="1">
        <f>Tabela1[[#This Row],[Siblings and Spouses]]+Tabela1[[#This Row],[Parents and Children]]</f>
        <v>3</v>
      </c>
      <c r="J481" s="3">
        <v>41.5792</v>
      </c>
      <c r="K4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81" s="2" t="s">
        <v>1318</v>
      </c>
    </row>
    <row r="482" spans="1:12" x14ac:dyDescent="0.25">
      <c r="A482" s="1" t="s">
        <v>1350</v>
      </c>
      <c r="B482" s="1" t="s">
        <v>1348</v>
      </c>
      <c r="C482" s="1" t="s">
        <v>481</v>
      </c>
      <c r="D482" s="1" t="s">
        <v>1321</v>
      </c>
      <c r="E482" s="1">
        <v>25</v>
      </c>
      <c r="F4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82" s="1">
        <v>1</v>
      </c>
      <c r="H482" s="1">
        <v>2</v>
      </c>
      <c r="I482" s="1">
        <f>Tabela1[[#This Row],[Siblings and Spouses]]+Tabela1[[#This Row],[Parents and Children]]</f>
        <v>3</v>
      </c>
      <c r="J482" s="3">
        <v>41.5792</v>
      </c>
      <c r="K4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82" s="2" t="s">
        <v>1318</v>
      </c>
    </row>
    <row r="483" spans="1:12" x14ac:dyDescent="0.25">
      <c r="A483" s="1" t="s">
        <v>1350</v>
      </c>
      <c r="B483" s="1" t="s">
        <v>1337</v>
      </c>
      <c r="C483" s="1" t="s">
        <v>482</v>
      </c>
      <c r="D483" s="1" t="s">
        <v>1320</v>
      </c>
      <c r="E483" s="1">
        <v>22</v>
      </c>
      <c r="F4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83" s="1">
        <v>1</v>
      </c>
      <c r="H483" s="1">
        <v>2</v>
      </c>
      <c r="I483" s="1">
        <f>Tabela1[[#This Row],[Siblings and Spouses]]+Tabela1[[#This Row],[Parents and Children]]</f>
        <v>3</v>
      </c>
      <c r="J483" s="3">
        <v>41.5792</v>
      </c>
      <c r="K4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83" s="2" t="s">
        <v>1318</v>
      </c>
    </row>
    <row r="484" spans="1:12" x14ac:dyDescent="0.25">
      <c r="A484" s="1" t="s">
        <v>1350</v>
      </c>
      <c r="B484" s="1" t="s">
        <v>1337</v>
      </c>
      <c r="C484" s="1" t="s">
        <v>483</v>
      </c>
      <c r="D484" s="1" t="s">
        <v>1320</v>
      </c>
      <c r="E484" s="1">
        <v>17</v>
      </c>
      <c r="F4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84" s="1">
        <v>0</v>
      </c>
      <c r="H484" s="1">
        <v>0</v>
      </c>
      <c r="I484" s="1">
        <f>Tabela1[[#This Row],[Siblings and Spouses]]+Tabela1[[#This Row],[Parents and Children]]</f>
        <v>0</v>
      </c>
      <c r="J484" s="3">
        <v>12</v>
      </c>
      <c r="K4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84" s="2" t="s">
        <v>1318</v>
      </c>
    </row>
    <row r="485" spans="1:12" x14ac:dyDescent="0.25">
      <c r="A485" s="1" t="s">
        <v>1350</v>
      </c>
      <c r="B485" s="1" t="s">
        <v>1337</v>
      </c>
      <c r="C485" s="1" t="s">
        <v>484</v>
      </c>
      <c r="D485" s="1" t="s">
        <v>1320</v>
      </c>
      <c r="E485" s="1" t="s">
        <v>1323</v>
      </c>
      <c r="F4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85" s="1">
        <v>0</v>
      </c>
      <c r="H485" s="1">
        <v>0</v>
      </c>
      <c r="I485" s="1">
        <f>Tabela1[[#This Row],[Siblings and Spouses]]+Tabela1[[#This Row],[Parents and Children]]</f>
        <v>0</v>
      </c>
      <c r="J485" s="3">
        <v>33</v>
      </c>
      <c r="K4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85" s="2" t="s">
        <v>396</v>
      </c>
    </row>
    <row r="486" spans="1:12" x14ac:dyDescent="0.25">
      <c r="A486" s="1" t="s">
        <v>1350</v>
      </c>
      <c r="B486" s="1" t="s">
        <v>1337</v>
      </c>
      <c r="C486" s="1" t="s">
        <v>485</v>
      </c>
      <c r="D486" s="1" t="s">
        <v>1320</v>
      </c>
      <c r="E486" s="1">
        <v>34</v>
      </c>
      <c r="F4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86" s="1">
        <v>0</v>
      </c>
      <c r="H486" s="1">
        <v>0</v>
      </c>
      <c r="I486" s="1">
        <f>Tabela1[[#This Row],[Siblings and Spouses]]+Tabela1[[#This Row],[Parents and Children]]</f>
        <v>0</v>
      </c>
      <c r="J486" s="3">
        <v>10.5</v>
      </c>
      <c r="K4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86" s="2" t="s">
        <v>396</v>
      </c>
    </row>
    <row r="487" spans="1:12" x14ac:dyDescent="0.25">
      <c r="A487" s="1" t="s">
        <v>1350</v>
      </c>
      <c r="B487" s="1" t="s">
        <v>1348</v>
      </c>
      <c r="C487" s="1" t="s">
        <v>486</v>
      </c>
      <c r="D487" s="1" t="s">
        <v>1321</v>
      </c>
      <c r="E487" s="1">
        <v>36</v>
      </c>
      <c r="F4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87" s="1">
        <v>0</v>
      </c>
      <c r="H487" s="1">
        <v>0</v>
      </c>
      <c r="I487" s="1">
        <f>Tabela1[[#This Row],[Siblings and Spouses]]+Tabela1[[#This Row],[Parents and Children]]</f>
        <v>0</v>
      </c>
      <c r="J487" s="3">
        <v>12.875</v>
      </c>
      <c r="K4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87" s="2" t="s">
        <v>1318</v>
      </c>
    </row>
    <row r="488" spans="1:12" x14ac:dyDescent="0.25">
      <c r="A488" s="1" t="s">
        <v>1350</v>
      </c>
      <c r="B488" s="1" t="s">
        <v>1348</v>
      </c>
      <c r="C488" s="1" t="s">
        <v>487</v>
      </c>
      <c r="D488" s="1" t="s">
        <v>1321</v>
      </c>
      <c r="E488" s="1">
        <v>24</v>
      </c>
      <c r="F4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88" s="1">
        <v>0</v>
      </c>
      <c r="H488" s="1">
        <v>0</v>
      </c>
      <c r="I488" s="1">
        <f>Tabela1[[#This Row],[Siblings and Spouses]]+Tabela1[[#This Row],[Parents and Children]]</f>
        <v>0</v>
      </c>
      <c r="J488" s="3">
        <v>10.5</v>
      </c>
      <c r="K4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88" s="2" t="s">
        <v>396</v>
      </c>
    </row>
    <row r="489" spans="1:12" x14ac:dyDescent="0.25">
      <c r="A489" s="1" t="s">
        <v>1350</v>
      </c>
      <c r="B489" s="1" t="s">
        <v>1348</v>
      </c>
      <c r="C489" s="1" t="s">
        <v>488</v>
      </c>
      <c r="D489" s="1" t="s">
        <v>1321</v>
      </c>
      <c r="E489" s="1">
        <v>61</v>
      </c>
      <c r="F4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489" s="1">
        <v>0</v>
      </c>
      <c r="H489" s="1">
        <v>0</v>
      </c>
      <c r="I489" s="1">
        <f>Tabela1[[#This Row],[Siblings and Spouses]]+Tabela1[[#This Row],[Parents and Children]]</f>
        <v>0</v>
      </c>
      <c r="J489" s="3">
        <v>12.35</v>
      </c>
      <c r="K4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89" s="2" t="s">
        <v>1319</v>
      </c>
    </row>
    <row r="490" spans="1:12" x14ac:dyDescent="0.25">
      <c r="A490" s="1" t="s">
        <v>1350</v>
      </c>
      <c r="B490" s="1" t="s">
        <v>1348</v>
      </c>
      <c r="C490" s="1" t="s">
        <v>489</v>
      </c>
      <c r="D490" s="1" t="s">
        <v>1321</v>
      </c>
      <c r="E490" s="1">
        <v>50</v>
      </c>
      <c r="F4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90" s="1">
        <v>1</v>
      </c>
      <c r="H490" s="1">
        <v>0</v>
      </c>
      <c r="I490" s="1">
        <f>Tabela1[[#This Row],[Siblings and Spouses]]+Tabela1[[#This Row],[Parents and Children]]</f>
        <v>1</v>
      </c>
      <c r="J490" s="3">
        <v>26</v>
      </c>
      <c r="K4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90" s="2" t="s">
        <v>396</v>
      </c>
    </row>
    <row r="491" spans="1:12" x14ac:dyDescent="0.25">
      <c r="A491" s="1" t="s">
        <v>1350</v>
      </c>
      <c r="B491" s="1" t="s">
        <v>1337</v>
      </c>
      <c r="C491" s="1" t="s">
        <v>490</v>
      </c>
      <c r="D491" s="1" t="s">
        <v>1320</v>
      </c>
      <c r="E491" s="1">
        <v>42</v>
      </c>
      <c r="F4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491" s="1">
        <v>1</v>
      </c>
      <c r="H491" s="1">
        <v>0</v>
      </c>
      <c r="I491" s="1">
        <f>Tabela1[[#This Row],[Siblings and Spouses]]+Tabela1[[#This Row],[Parents and Children]]</f>
        <v>1</v>
      </c>
      <c r="J491" s="3">
        <v>26</v>
      </c>
      <c r="K4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91" s="2" t="s">
        <v>396</v>
      </c>
    </row>
    <row r="492" spans="1:12" x14ac:dyDescent="0.25">
      <c r="A492" s="1" t="s">
        <v>1350</v>
      </c>
      <c r="B492" s="1" t="s">
        <v>1348</v>
      </c>
      <c r="C492" s="1" t="s">
        <v>491</v>
      </c>
      <c r="D492" s="1" t="s">
        <v>1320</v>
      </c>
      <c r="E492" s="1">
        <v>57</v>
      </c>
      <c r="F4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492" s="1">
        <v>0</v>
      </c>
      <c r="H492" s="1">
        <v>0</v>
      </c>
      <c r="I492" s="1">
        <f>Tabela1[[#This Row],[Siblings and Spouses]]+Tabela1[[#This Row],[Parents and Children]]</f>
        <v>0</v>
      </c>
      <c r="J492" s="3">
        <v>10.5</v>
      </c>
      <c r="K4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92" s="2" t="s">
        <v>396</v>
      </c>
    </row>
    <row r="493" spans="1:12" x14ac:dyDescent="0.25">
      <c r="A493" s="1" t="s">
        <v>1350</v>
      </c>
      <c r="B493" s="1" t="s">
        <v>1348</v>
      </c>
      <c r="C493" s="1" t="s">
        <v>492</v>
      </c>
      <c r="D493" s="1" t="s">
        <v>1321</v>
      </c>
      <c r="E493" s="1" t="s">
        <v>1323</v>
      </c>
      <c r="F4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93" s="1">
        <v>0</v>
      </c>
      <c r="H493" s="1">
        <v>0</v>
      </c>
      <c r="I493" s="1">
        <f>Tabela1[[#This Row],[Siblings and Spouses]]+Tabela1[[#This Row],[Parents and Children]]</f>
        <v>0</v>
      </c>
      <c r="J493" s="3">
        <v>15.0458</v>
      </c>
      <c r="K4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93" s="2" t="s">
        <v>1318</v>
      </c>
    </row>
    <row r="494" spans="1:12" x14ac:dyDescent="0.25">
      <c r="A494" s="1" t="s">
        <v>1350</v>
      </c>
      <c r="B494" s="1" t="s">
        <v>1337</v>
      </c>
      <c r="C494" s="1" t="s">
        <v>493</v>
      </c>
      <c r="D494" s="1" t="s">
        <v>1321</v>
      </c>
      <c r="E494" s="1">
        <v>1</v>
      </c>
      <c r="F4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494" s="1">
        <v>0</v>
      </c>
      <c r="H494" s="1">
        <v>2</v>
      </c>
      <c r="I494" s="1">
        <f>Tabela1[[#This Row],[Siblings and Spouses]]+Tabela1[[#This Row],[Parents and Children]]</f>
        <v>2</v>
      </c>
      <c r="J494" s="3">
        <v>37.004199999999997</v>
      </c>
      <c r="K4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94" s="2" t="s">
        <v>1318</v>
      </c>
    </row>
    <row r="495" spans="1:12" x14ac:dyDescent="0.25">
      <c r="A495" s="1" t="s">
        <v>1350</v>
      </c>
      <c r="B495" s="1" t="s">
        <v>1348</v>
      </c>
      <c r="C495" s="1" t="s">
        <v>494</v>
      </c>
      <c r="D495" s="1" t="s">
        <v>1321</v>
      </c>
      <c r="E495" s="1">
        <v>31</v>
      </c>
      <c r="F4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95" s="1">
        <v>1</v>
      </c>
      <c r="H495" s="1">
        <v>1</v>
      </c>
      <c r="I495" s="1">
        <f>Tabela1[[#This Row],[Siblings and Spouses]]+Tabela1[[#This Row],[Parents and Children]]</f>
        <v>2</v>
      </c>
      <c r="J495" s="3">
        <v>37.004199999999997</v>
      </c>
      <c r="K4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95" s="2" t="s">
        <v>1318</v>
      </c>
    </row>
    <row r="496" spans="1:12" x14ac:dyDescent="0.25">
      <c r="A496" s="1" t="s">
        <v>1350</v>
      </c>
      <c r="B496" s="1" t="s">
        <v>1337</v>
      </c>
      <c r="C496" s="1" t="s">
        <v>495</v>
      </c>
      <c r="D496" s="1" t="s">
        <v>1320</v>
      </c>
      <c r="E496" s="1">
        <v>24</v>
      </c>
      <c r="F4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96" s="1">
        <v>1</v>
      </c>
      <c r="H496" s="1">
        <v>1</v>
      </c>
      <c r="I496" s="1">
        <f>Tabela1[[#This Row],[Siblings and Spouses]]+Tabela1[[#This Row],[Parents and Children]]</f>
        <v>2</v>
      </c>
      <c r="J496" s="3">
        <v>37.004199999999997</v>
      </c>
      <c r="K4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496" s="2" t="s">
        <v>1318</v>
      </c>
    </row>
    <row r="497" spans="1:12" x14ac:dyDescent="0.25">
      <c r="A497" s="1" t="s">
        <v>1350</v>
      </c>
      <c r="B497" s="1" t="s">
        <v>1348</v>
      </c>
      <c r="C497" s="1" t="s">
        <v>496</v>
      </c>
      <c r="D497" s="1" t="s">
        <v>1321</v>
      </c>
      <c r="E497" s="1" t="s">
        <v>1323</v>
      </c>
      <c r="F4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497" s="1">
        <v>0</v>
      </c>
      <c r="H497" s="1">
        <v>0</v>
      </c>
      <c r="I497" s="1">
        <f>Tabela1[[#This Row],[Siblings and Spouses]]+Tabela1[[#This Row],[Parents and Children]]</f>
        <v>0</v>
      </c>
      <c r="J497" s="3">
        <v>15.5792</v>
      </c>
      <c r="K4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97" s="2" t="s">
        <v>1318</v>
      </c>
    </row>
    <row r="498" spans="1:12" x14ac:dyDescent="0.25">
      <c r="A498" s="1" t="s">
        <v>1350</v>
      </c>
      <c r="B498" s="1" t="s">
        <v>1348</v>
      </c>
      <c r="C498" s="1" t="s">
        <v>497</v>
      </c>
      <c r="D498" s="1" t="s">
        <v>1321</v>
      </c>
      <c r="E498" s="1">
        <v>30</v>
      </c>
      <c r="F4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498" s="1">
        <v>0</v>
      </c>
      <c r="H498" s="1">
        <v>0</v>
      </c>
      <c r="I498" s="1">
        <f>Tabela1[[#This Row],[Siblings and Spouses]]+Tabela1[[#This Row],[Parents and Children]]</f>
        <v>0</v>
      </c>
      <c r="J498" s="3">
        <v>13</v>
      </c>
      <c r="K4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98" s="2" t="s">
        <v>396</v>
      </c>
    </row>
    <row r="499" spans="1:12" x14ac:dyDescent="0.25">
      <c r="A499" s="1" t="s">
        <v>1350</v>
      </c>
      <c r="B499" s="1" t="s">
        <v>1348</v>
      </c>
      <c r="C499" s="1" t="s">
        <v>498</v>
      </c>
      <c r="D499" s="1" t="s">
        <v>1321</v>
      </c>
      <c r="E499" s="1">
        <v>40</v>
      </c>
      <c r="F4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499" s="1">
        <v>0</v>
      </c>
      <c r="H499" s="1">
        <v>0</v>
      </c>
      <c r="I499" s="1">
        <f>Tabela1[[#This Row],[Siblings and Spouses]]+Tabela1[[#This Row],[Parents and Children]]</f>
        <v>0</v>
      </c>
      <c r="J499" s="3">
        <v>16</v>
      </c>
      <c r="K4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499" s="2" t="s">
        <v>396</v>
      </c>
    </row>
    <row r="500" spans="1:12" x14ac:dyDescent="0.25">
      <c r="A500" s="1" t="s">
        <v>1350</v>
      </c>
      <c r="B500" s="1" t="s">
        <v>1348</v>
      </c>
      <c r="C500" s="1" t="s">
        <v>499</v>
      </c>
      <c r="D500" s="1" t="s">
        <v>1321</v>
      </c>
      <c r="E500" s="1">
        <v>32</v>
      </c>
      <c r="F5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00" s="1">
        <v>0</v>
      </c>
      <c r="H500" s="1">
        <v>0</v>
      </c>
      <c r="I500" s="1">
        <f>Tabela1[[#This Row],[Siblings and Spouses]]+Tabela1[[#This Row],[Parents and Children]]</f>
        <v>0</v>
      </c>
      <c r="J500" s="3">
        <v>13.5</v>
      </c>
      <c r="K5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0" s="2" t="s">
        <v>396</v>
      </c>
    </row>
    <row r="501" spans="1:12" x14ac:dyDescent="0.25">
      <c r="A501" s="1" t="s">
        <v>1350</v>
      </c>
      <c r="B501" s="1" t="s">
        <v>1348</v>
      </c>
      <c r="C501" s="1" t="s">
        <v>500</v>
      </c>
      <c r="D501" s="1" t="s">
        <v>1321</v>
      </c>
      <c r="E501" s="1">
        <v>30</v>
      </c>
      <c r="F5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01" s="1">
        <v>0</v>
      </c>
      <c r="H501" s="1">
        <v>0</v>
      </c>
      <c r="I501" s="1">
        <f>Tabela1[[#This Row],[Siblings and Spouses]]+Tabela1[[#This Row],[Parents and Children]]</f>
        <v>0</v>
      </c>
      <c r="J501" s="3">
        <v>13</v>
      </c>
      <c r="K5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1" s="2" t="s">
        <v>396</v>
      </c>
    </row>
    <row r="502" spans="1:12" x14ac:dyDescent="0.25">
      <c r="A502" s="1" t="s">
        <v>1350</v>
      </c>
      <c r="B502" s="1" t="s">
        <v>1348</v>
      </c>
      <c r="C502" s="1" t="s">
        <v>501</v>
      </c>
      <c r="D502" s="1" t="s">
        <v>1321</v>
      </c>
      <c r="E502" s="1">
        <v>46</v>
      </c>
      <c r="F5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02" s="1">
        <v>0</v>
      </c>
      <c r="H502" s="1">
        <v>0</v>
      </c>
      <c r="I502" s="1">
        <f>Tabela1[[#This Row],[Siblings and Spouses]]+Tabela1[[#This Row],[Parents and Children]]</f>
        <v>0</v>
      </c>
      <c r="J502" s="3">
        <v>26</v>
      </c>
      <c r="K5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02" s="2" t="s">
        <v>396</v>
      </c>
    </row>
    <row r="503" spans="1:12" x14ac:dyDescent="0.25">
      <c r="A503" s="1" t="s">
        <v>1350</v>
      </c>
      <c r="B503" s="1" t="s">
        <v>1337</v>
      </c>
      <c r="C503" s="1" t="s">
        <v>502</v>
      </c>
      <c r="D503" s="1" t="s">
        <v>1320</v>
      </c>
      <c r="E503" s="1">
        <v>13</v>
      </c>
      <c r="F5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03" s="1">
        <v>0</v>
      </c>
      <c r="H503" s="1">
        <v>1</v>
      </c>
      <c r="I503" s="1">
        <f>Tabela1[[#This Row],[Siblings and Spouses]]+Tabela1[[#This Row],[Parents and Children]]</f>
        <v>1</v>
      </c>
      <c r="J503" s="3">
        <v>19.5</v>
      </c>
      <c r="K5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3" s="2" t="s">
        <v>396</v>
      </c>
    </row>
    <row r="504" spans="1:12" x14ac:dyDescent="0.25">
      <c r="A504" s="1" t="s">
        <v>1350</v>
      </c>
      <c r="B504" s="1" t="s">
        <v>1337</v>
      </c>
      <c r="C504" s="1" t="s">
        <v>503</v>
      </c>
      <c r="D504" s="1" t="s">
        <v>1320</v>
      </c>
      <c r="E504" s="1">
        <v>41</v>
      </c>
      <c r="F5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04" s="1">
        <v>0</v>
      </c>
      <c r="H504" s="1">
        <v>1</v>
      </c>
      <c r="I504" s="1">
        <f>Tabela1[[#This Row],[Siblings and Spouses]]+Tabela1[[#This Row],[Parents and Children]]</f>
        <v>1</v>
      </c>
      <c r="J504" s="3">
        <v>19.5</v>
      </c>
      <c r="K5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4" s="2" t="s">
        <v>396</v>
      </c>
    </row>
    <row r="505" spans="1:12" x14ac:dyDescent="0.25">
      <c r="A505" s="1" t="s">
        <v>1350</v>
      </c>
      <c r="B505" s="1" t="s">
        <v>1337</v>
      </c>
      <c r="C505" s="1" t="s">
        <v>504</v>
      </c>
      <c r="D505" s="1" t="s">
        <v>1321</v>
      </c>
      <c r="E505" s="1">
        <v>19</v>
      </c>
      <c r="F5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05" s="1">
        <v>0</v>
      </c>
      <c r="H505" s="1">
        <v>0</v>
      </c>
      <c r="I505" s="1">
        <f>Tabela1[[#This Row],[Siblings and Spouses]]+Tabela1[[#This Row],[Parents and Children]]</f>
        <v>0</v>
      </c>
      <c r="J505" s="3">
        <v>10.5</v>
      </c>
      <c r="K5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5" s="2" t="s">
        <v>396</v>
      </c>
    </row>
    <row r="506" spans="1:12" x14ac:dyDescent="0.25">
      <c r="A506" s="1" t="s">
        <v>1350</v>
      </c>
      <c r="B506" s="1" t="s">
        <v>1348</v>
      </c>
      <c r="C506" s="1" t="s">
        <v>505</v>
      </c>
      <c r="D506" s="1" t="s">
        <v>1321</v>
      </c>
      <c r="E506" s="1">
        <v>39</v>
      </c>
      <c r="F5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06" s="1">
        <v>0</v>
      </c>
      <c r="H506" s="1">
        <v>0</v>
      </c>
      <c r="I506" s="1">
        <f>Tabela1[[#This Row],[Siblings and Spouses]]+Tabela1[[#This Row],[Parents and Children]]</f>
        <v>0</v>
      </c>
      <c r="J506" s="3">
        <v>13</v>
      </c>
      <c r="K5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6" s="2" t="s">
        <v>396</v>
      </c>
    </row>
    <row r="507" spans="1:12" x14ac:dyDescent="0.25">
      <c r="A507" s="1" t="s">
        <v>1350</v>
      </c>
      <c r="B507" s="1" t="s">
        <v>1348</v>
      </c>
      <c r="C507" s="1" t="s">
        <v>506</v>
      </c>
      <c r="D507" s="1" t="s">
        <v>1321</v>
      </c>
      <c r="E507" s="1">
        <v>48</v>
      </c>
      <c r="F5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07" s="1">
        <v>0</v>
      </c>
      <c r="H507" s="1">
        <v>0</v>
      </c>
      <c r="I507" s="1">
        <f>Tabela1[[#This Row],[Siblings and Spouses]]+Tabela1[[#This Row],[Parents and Children]]</f>
        <v>0</v>
      </c>
      <c r="J507" s="3">
        <v>13</v>
      </c>
      <c r="K5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7" s="2" t="s">
        <v>396</v>
      </c>
    </row>
    <row r="508" spans="1:12" x14ac:dyDescent="0.25">
      <c r="A508" s="1" t="s">
        <v>1350</v>
      </c>
      <c r="B508" s="1" t="s">
        <v>1348</v>
      </c>
      <c r="C508" s="1" t="s">
        <v>507</v>
      </c>
      <c r="D508" s="1" t="s">
        <v>1321</v>
      </c>
      <c r="E508" s="1">
        <v>70</v>
      </c>
      <c r="F5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508" s="1">
        <v>0</v>
      </c>
      <c r="H508" s="1">
        <v>0</v>
      </c>
      <c r="I508" s="1">
        <f>Tabela1[[#This Row],[Siblings and Spouses]]+Tabela1[[#This Row],[Parents and Children]]</f>
        <v>0</v>
      </c>
      <c r="J508" s="3">
        <v>10.5</v>
      </c>
      <c r="K5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8" s="2" t="s">
        <v>396</v>
      </c>
    </row>
    <row r="509" spans="1:12" x14ac:dyDescent="0.25">
      <c r="A509" s="1" t="s">
        <v>1350</v>
      </c>
      <c r="B509" s="1" t="s">
        <v>1348</v>
      </c>
      <c r="C509" s="1" t="s">
        <v>508</v>
      </c>
      <c r="D509" s="1" t="s">
        <v>1321</v>
      </c>
      <c r="E509" s="1">
        <v>27</v>
      </c>
      <c r="F5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09" s="1">
        <v>0</v>
      </c>
      <c r="H509" s="1">
        <v>0</v>
      </c>
      <c r="I509" s="1">
        <f>Tabela1[[#This Row],[Siblings and Spouses]]+Tabela1[[#This Row],[Parents and Children]]</f>
        <v>0</v>
      </c>
      <c r="J509" s="3">
        <v>13</v>
      </c>
      <c r="K5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09" s="2" t="s">
        <v>396</v>
      </c>
    </row>
    <row r="510" spans="1:12" x14ac:dyDescent="0.25">
      <c r="A510" s="1" t="s">
        <v>1350</v>
      </c>
      <c r="B510" s="1" t="s">
        <v>1348</v>
      </c>
      <c r="C510" s="1" t="s">
        <v>509</v>
      </c>
      <c r="D510" s="1" t="s">
        <v>1321</v>
      </c>
      <c r="E510" s="1">
        <v>54</v>
      </c>
      <c r="F5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510" s="1">
        <v>0</v>
      </c>
      <c r="H510" s="1">
        <v>0</v>
      </c>
      <c r="I510" s="1">
        <f>Tabela1[[#This Row],[Siblings and Spouses]]+Tabela1[[#This Row],[Parents and Children]]</f>
        <v>0</v>
      </c>
      <c r="J510" s="3">
        <v>14</v>
      </c>
      <c r="K5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10" s="2" t="s">
        <v>396</v>
      </c>
    </row>
    <row r="511" spans="1:12" x14ac:dyDescent="0.25">
      <c r="A511" s="1" t="s">
        <v>1350</v>
      </c>
      <c r="B511" s="1" t="s">
        <v>1348</v>
      </c>
      <c r="C511" s="1" t="s">
        <v>510</v>
      </c>
      <c r="D511" s="1" t="s">
        <v>1321</v>
      </c>
      <c r="E511" s="1">
        <v>39</v>
      </c>
      <c r="F5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11" s="1">
        <v>0</v>
      </c>
      <c r="H511" s="1">
        <v>0</v>
      </c>
      <c r="I511" s="1">
        <f>Tabela1[[#This Row],[Siblings and Spouses]]+Tabela1[[#This Row],[Parents and Children]]</f>
        <v>0</v>
      </c>
      <c r="J511" s="3">
        <v>26</v>
      </c>
      <c r="K5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11" s="2" t="s">
        <v>396</v>
      </c>
    </row>
    <row r="512" spans="1:12" x14ac:dyDescent="0.25">
      <c r="A512" s="1" t="s">
        <v>1350</v>
      </c>
      <c r="B512" s="1" t="s">
        <v>1348</v>
      </c>
      <c r="C512" s="1" t="s">
        <v>511</v>
      </c>
      <c r="D512" s="1" t="s">
        <v>1321</v>
      </c>
      <c r="E512" s="1">
        <v>16</v>
      </c>
      <c r="F5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12" s="1">
        <v>0</v>
      </c>
      <c r="H512" s="1">
        <v>0</v>
      </c>
      <c r="I512" s="1">
        <f>Tabela1[[#This Row],[Siblings and Spouses]]+Tabela1[[#This Row],[Parents and Children]]</f>
        <v>0</v>
      </c>
      <c r="J512" s="3">
        <v>10.5</v>
      </c>
      <c r="K5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12" s="2" t="s">
        <v>396</v>
      </c>
    </row>
    <row r="513" spans="1:12" x14ac:dyDescent="0.25">
      <c r="A513" s="1" t="s">
        <v>1350</v>
      </c>
      <c r="B513" s="1" t="s">
        <v>1348</v>
      </c>
      <c r="C513" s="1" t="s">
        <v>512</v>
      </c>
      <c r="D513" s="1" t="s">
        <v>1321</v>
      </c>
      <c r="E513" s="1">
        <v>62</v>
      </c>
      <c r="F5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513" s="1">
        <v>0</v>
      </c>
      <c r="H513" s="1">
        <v>0</v>
      </c>
      <c r="I513" s="1">
        <f>Tabela1[[#This Row],[Siblings and Spouses]]+Tabela1[[#This Row],[Parents and Children]]</f>
        <v>0</v>
      </c>
      <c r="J513" s="3">
        <v>9.6875</v>
      </c>
      <c r="K5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513" s="2" t="s">
        <v>1319</v>
      </c>
    </row>
    <row r="514" spans="1:12" x14ac:dyDescent="0.25">
      <c r="A514" s="1" t="s">
        <v>1350</v>
      </c>
      <c r="B514" s="1" t="s">
        <v>1348</v>
      </c>
      <c r="C514" s="1" t="s">
        <v>513</v>
      </c>
      <c r="D514" s="1" t="s">
        <v>1321</v>
      </c>
      <c r="E514" s="1">
        <v>32.5</v>
      </c>
      <c r="F5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14" s="1">
        <v>1</v>
      </c>
      <c r="H514" s="1">
        <v>0</v>
      </c>
      <c r="I514" s="1">
        <f>Tabela1[[#This Row],[Siblings and Spouses]]+Tabela1[[#This Row],[Parents and Children]]</f>
        <v>1</v>
      </c>
      <c r="J514" s="3">
        <v>30.070799999999998</v>
      </c>
      <c r="K5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14" s="2" t="s">
        <v>1318</v>
      </c>
    </row>
    <row r="515" spans="1:12" x14ac:dyDescent="0.25">
      <c r="A515" s="1" t="s">
        <v>1350</v>
      </c>
      <c r="B515" s="1" t="s">
        <v>1337</v>
      </c>
      <c r="C515" s="1" t="s">
        <v>514</v>
      </c>
      <c r="D515" s="1" t="s">
        <v>1320</v>
      </c>
      <c r="E515" s="1">
        <v>14</v>
      </c>
      <c r="F5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15" s="1">
        <v>1</v>
      </c>
      <c r="H515" s="1">
        <v>0</v>
      </c>
      <c r="I515" s="1">
        <f>Tabela1[[#This Row],[Siblings and Spouses]]+Tabela1[[#This Row],[Parents and Children]]</f>
        <v>1</v>
      </c>
      <c r="J515" s="3">
        <v>30.070799999999998</v>
      </c>
      <c r="K5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15" s="2" t="s">
        <v>1318</v>
      </c>
    </row>
    <row r="516" spans="1:12" x14ac:dyDescent="0.25">
      <c r="A516" s="1" t="s">
        <v>1350</v>
      </c>
      <c r="B516" s="1" t="s">
        <v>1337</v>
      </c>
      <c r="C516" s="1" t="s">
        <v>515</v>
      </c>
      <c r="D516" s="1" t="s">
        <v>1321</v>
      </c>
      <c r="E516" s="1">
        <v>2</v>
      </c>
      <c r="F5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16" s="1">
        <v>1</v>
      </c>
      <c r="H516" s="1">
        <v>1</v>
      </c>
      <c r="I516" s="1">
        <f>Tabela1[[#This Row],[Siblings and Spouses]]+Tabela1[[#This Row],[Parents and Children]]</f>
        <v>2</v>
      </c>
      <c r="J516" s="3">
        <v>26</v>
      </c>
      <c r="K5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16" s="2" t="s">
        <v>396</v>
      </c>
    </row>
    <row r="517" spans="1:12" x14ac:dyDescent="0.25">
      <c r="A517" s="1" t="s">
        <v>1350</v>
      </c>
      <c r="B517" s="1" t="s">
        <v>1337</v>
      </c>
      <c r="C517" s="1" t="s">
        <v>516</v>
      </c>
      <c r="D517" s="1" t="s">
        <v>1321</v>
      </c>
      <c r="E517" s="1">
        <v>3</v>
      </c>
      <c r="F5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17" s="1">
        <v>1</v>
      </c>
      <c r="H517" s="1">
        <v>1</v>
      </c>
      <c r="I517" s="1">
        <f>Tabela1[[#This Row],[Siblings and Spouses]]+Tabela1[[#This Row],[Parents and Children]]</f>
        <v>2</v>
      </c>
      <c r="J517" s="3">
        <v>26</v>
      </c>
      <c r="K5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17" s="2" t="s">
        <v>396</v>
      </c>
    </row>
    <row r="518" spans="1:12" x14ac:dyDescent="0.25">
      <c r="A518" s="1" t="s">
        <v>1350</v>
      </c>
      <c r="B518" s="1" t="s">
        <v>1348</v>
      </c>
      <c r="C518" s="1" t="s">
        <v>517</v>
      </c>
      <c r="D518" s="1" t="s">
        <v>1321</v>
      </c>
      <c r="E518" s="1">
        <v>36.5</v>
      </c>
      <c r="F5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18" s="1">
        <v>0</v>
      </c>
      <c r="H518" s="1">
        <v>2</v>
      </c>
      <c r="I518" s="1">
        <f>Tabela1[[#This Row],[Siblings and Spouses]]+Tabela1[[#This Row],[Parents and Children]]</f>
        <v>2</v>
      </c>
      <c r="J518" s="3">
        <v>26</v>
      </c>
      <c r="K5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18" s="2" t="s">
        <v>396</v>
      </c>
    </row>
    <row r="519" spans="1:12" x14ac:dyDescent="0.25">
      <c r="A519" s="1" t="s">
        <v>1350</v>
      </c>
      <c r="B519" s="1" t="s">
        <v>1348</v>
      </c>
      <c r="C519" s="1" t="s">
        <v>518</v>
      </c>
      <c r="D519" s="1" t="s">
        <v>1321</v>
      </c>
      <c r="E519" s="1">
        <v>26</v>
      </c>
      <c r="F5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19" s="1">
        <v>0</v>
      </c>
      <c r="H519" s="1">
        <v>0</v>
      </c>
      <c r="I519" s="1">
        <f>Tabela1[[#This Row],[Siblings and Spouses]]+Tabela1[[#This Row],[Parents and Children]]</f>
        <v>0</v>
      </c>
      <c r="J519" s="3">
        <v>13</v>
      </c>
      <c r="K5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19" s="2" t="s">
        <v>396</v>
      </c>
    </row>
    <row r="520" spans="1:12" x14ac:dyDescent="0.25">
      <c r="A520" s="1" t="s">
        <v>1350</v>
      </c>
      <c r="B520" s="1" t="s">
        <v>1348</v>
      </c>
      <c r="C520" s="1" t="s">
        <v>519</v>
      </c>
      <c r="D520" s="1" t="s">
        <v>1321</v>
      </c>
      <c r="E520" s="1">
        <v>19</v>
      </c>
      <c r="F5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0" s="1">
        <v>1</v>
      </c>
      <c r="H520" s="1">
        <v>1</v>
      </c>
      <c r="I520" s="1">
        <f>Tabela1[[#This Row],[Siblings and Spouses]]+Tabela1[[#This Row],[Parents and Children]]</f>
        <v>2</v>
      </c>
      <c r="J520" s="3">
        <v>36.75</v>
      </c>
      <c r="K5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20" s="2" t="s">
        <v>396</v>
      </c>
    </row>
    <row r="521" spans="1:12" x14ac:dyDescent="0.25">
      <c r="A521" s="1" t="s">
        <v>1350</v>
      </c>
      <c r="B521" s="1" t="s">
        <v>1348</v>
      </c>
      <c r="C521" s="1" t="s">
        <v>520</v>
      </c>
      <c r="D521" s="1" t="s">
        <v>1321</v>
      </c>
      <c r="E521" s="1">
        <v>28</v>
      </c>
      <c r="F5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1" s="1">
        <v>0</v>
      </c>
      <c r="H521" s="1">
        <v>0</v>
      </c>
      <c r="I521" s="1">
        <f>Tabela1[[#This Row],[Siblings and Spouses]]+Tabela1[[#This Row],[Parents and Children]]</f>
        <v>0</v>
      </c>
      <c r="J521" s="3">
        <v>13.5</v>
      </c>
      <c r="K5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1" s="2" t="s">
        <v>396</v>
      </c>
    </row>
    <row r="522" spans="1:12" x14ac:dyDescent="0.25">
      <c r="A522" s="1" t="s">
        <v>1350</v>
      </c>
      <c r="B522" s="1" t="s">
        <v>1337</v>
      </c>
      <c r="C522" s="1" t="s">
        <v>521</v>
      </c>
      <c r="D522" s="1" t="s">
        <v>1321</v>
      </c>
      <c r="E522" s="1">
        <v>20</v>
      </c>
      <c r="F5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2" s="1">
        <v>0</v>
      </c>
      <c r="H522" s="1">
        <v>0</v>
      </c>
      <c r="I522" s="1">
        <f>Tabela1[[#This Row],[Siblings and Spouses]]+Tabela1[[#This Row],[Parents and Children]]</f>
        <v>0</v>
      </c>
      <c r="J522" s="3">
        <v>13.862500000000001</v>
      </c>
      <c r="K5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2" s="2" t="s">
        <v>1318</v>
      </c>
    </row>
    <row r="523" spans="1:12" x14ac:dyDescent="0.25">
      <c r="A523" s="1" t="s">
        <v>1350</v>
      </c>
      <c r="B523" s="1" t="s">
        <v>1337</v>
      </c>
      <c r="C523" s="1" t="s">
        <v>522</v>
      </c>
      <c r="D523" s="1" t="s">
        <v>1320</v>
      </c>
      <c r="E523" s="1">
        <v>29</v>
      </c>
      <c r="F5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3" s="1">
        <v>0</v>
      </c>
      <c r="H523" s="1">
        <v>0</v>
      </c>
      <c r="I523" s="1">
        <f>Tabela1[[#This Row],[Siblings and Spouses]]+Tabela1[[#This Row],[Parents and Children]]</f>
        <v>0</v>
      </c>
      <c r="J523" s="3">
        <v>10.5</v>
      </c>
      <c r="K5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3" s="2" t="s">
        <v>396</v>
      </c>
    </row>
    <row r="524" spans="1:12" x14ac:dyDescent="0.25">
      <c r="A524" s="1" t="s">
        <v>1350</v>
      </c>
      <c r="B524" s="1" t="s">
        <v>1348</v>
      </c>
      <c r="C524" s="1" t="s">
        <v>523</v>
      </c>
      <c r="D524" s="1" t="s">
        <v>1321</v>
      </c>
      <c r="E524" s="1">
        <v>39</v>
      </c>
      <c r="F5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24" s="1">
        <v>0</v>
      </c>
      <c r="H524" s="1">
        <v>0</v>
      </c>
      <c r="I524" s="1">
        <f>Tabela1[[#This Row],[Siblings and Spouses]]+Tabela1[[#This Row],[Parents and Children]]</f>
        <v>0</v>
      </c>
      <c r="J524" s="3">
        <v>13</v>
      </c>
      <c r="K5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4" s="2" t="s">
        <v>396</v>
      </c>
    </row>
    <row r="525" spans="1:12" x14ac:dyDescent="0.25">
      <c r="A525" s="1" t="s">
        <v>1350</v>
      </c>
      <c r="B525" s="1" t="s">
        <v>1337</v>
      </c>
      <c r="C525" s="1" t="s">
        <v>524</v>
      </c>
      <c r="D525" s="1" t="s">
        <v>1321</v>
      </c>
      <c r="E525" s="1">
        <v>22</v>
      </c>
      <c r="F5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5" s="1">
        <v>0</v>
      </c>
      <c r="H525" s="1">
        <v>0</v>
      </c>
      <c r="I525" s="1">
        <f>Tabela1[[#This Row],[Siblings and Spouses]]+Tabela1[[#This Row],[Parents and Children]]</f>
        <v>0</v>
      </c>
      <c r="J525" s="3">
        <v>10.5</v>
      </c>
      <c r="K5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5" s="2" t="s">
        <v>396</v>
      </c>
    </row>
    <row r="526" spans="1:12" x14ac:dyDescent="0.25">
      <c r="A526" s="1" t="s">
        <v>1350</v>
      </c>
      <c r="B526" s="1" t="s">
        <v>1337</v>
      </c>
      <c r="C526" s="1" t="s">
        <v>525</v>
      </c>
      <c r="D526" s="1" t="s">
        <v>1321</v>
      </c>
      <c r="E526" s="1" t="s">
        <v>1323</v>
      </c>
      <c r="F5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526" s="1">
        <v>0</v>
      </c>
      <c r="H526" s="1">
        <v>0</v>
      </c>
      <c r="I526" s="1">
        <f>Tabela1[[#This Row],[Siblings and Spouses]]+Tabela1[[#This Row],[Parents and Children]]</f>
        <v>0</v>
      </c>
      <c r="J526" s="3">
        <v>13.862500000000001</v>
      </c>
      <c r="K5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6" s="2" t="s">
        <v>1318</v>
      </c>
    </row>
    <row r="527" spans="1:12" x14ac:dyDescent="0.25">
      <c r="A527" s="1" t="s">
        <v>1350</v>
      </c>
      <c r="B527" s="1" t="s">
        <v>1348</v>
      </c>
      <c r="C527" s="1" t="s">
        <v>526</v>
      </c>
      <c r="D527" s="1" t="s">
        <v>1321</v>
      </c>
      <c r="E527" s="1">
        <v>23</v>
      </c>
      <c r="F5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7" s="1">
        <v>0</v>
      </c>
      <c r="H527" s="1">
        <v>0</v>
      </c>
      <c r="I527" s="1">
        <f>Tabela1[[#This Row],[Siblings and Spouses]]+Tabela1[[#This Row],[Parents and Children]]</f>
        <v>0</v>
      </c>
      <c r="J527" s="3">
        <v>10.5</v>
      </c>
      <c r="K5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7" s="2" t="s">
        <v>396</v>
      </c>
    </row>
    <row r="528" spans="1:12" x14ac:dyDescent="0.25">
      <c r="A528" s="1" t="s">
        <v>1350</v>
      </c>
      <c r="B528" s="1" t="s">
        <v>1337</v>
      </c>
      <c r="C528" s="1" t="s">
        <v>527</v>
      </c>
      <c r="D528" s="1" t="s">
        <v>1321</v>
      </c>
      <c r="E528" s="1">
        <v>29</v>
      </c>
      <c r="F5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8" s="1">
        <v>0</v>
      </c>
      <c r="H528" s="1">
        <v>0</v>
      </c>
      <c r="I528" s="1">
        <f>Tabela1[[#This Row],[Siblings and Spouses]]+Tabela1[[#This Row],[Parents and Children]]</f>
        <v>0</v>
      </c>
      <c r="J528" s="3">
        <v>13.8583</v>
      </c>
      <c r="K5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8" s="2" t="s">
        <v>1318</v>
      </c>
    </row>
    <row r="529" spans="1:12" x14ac:dyDescent="0.25">
      <c r="A529" s="1" t="s">
        <v>1350</v>
      </c>
      <c r="B529" s="1" t="s">
        <v>1348</v>
      </c>
      <c r="C529" s="1" t="s">
        <v>528</v>
      </c>
      <c r="D529" s="1" t="s">
        <v>1321</v>
      </c>
      <c r="E529" s="1">
        <v>28</v>
      </c>
      <c r="F5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29" s="1">
        <v>0</v>
      </c>
      <c r="H529" s="1">
        <v>0</v>
      </c>
      <c r="I529" s="1">
        <f>Tabela1[[#This Row],[Siblings and Spouses]]+Tabela1[[#This Row],[Parents and Children]]</f>
        <v>0</v>
      </c>
      <c r="J529" s="3">
        <v>10.5</v>
      </c>
      <c r="K5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29" s="2" t="s">
        <v>396</v>
      </c>
    </row>
    <row r="530" spans="1:12" x14ac:dyDescent="0.25">
      <c r="A530" s="1" t="s">
        <v>1350</v>
      </c>
      <c r="B530" s="1" t="s">
        <v>1348</v>
      </c>
      <c r="C530" s="1" t="s">
        <v>529</v>
      </c>
      <c r="D530" s="1" t="s">
        <v>1321</v>
      </c>
      <c r="E530" s="1" t="s">
        <v>1323</v>
      </c>
      <c r="F5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530" s="1">
        <v>0</v>
      </c>
      <c r="H530" s="1">
        <v>0</v>
      </c>
      <c r="I530" s="1">
        <f>Tabela1[[#This Row],[Siblings and Spouses]]+Tabela1[[#This Row],[Parents and Children]]</f>
        <v>0</v>
      </c>
      <c r="J530" s="3">
        <v>0</v>
      </c>
      <c r="K5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530" s="2" t="s">
        <v>396</v>
      </c>
    </row>
    <row r="531" spans="1:12" x14ac:dyDescent="0.25">
      <c r="A531" s="1" t="s">
        <v>1350</v>
      </c>
      <c r="B531" s="1" t="s">
        <v>1337</v>
      </c>
      <c r="C531" s="1" t="s">
        <v>530</v>
      </c>
      <c r="D531" s="1" t="s">
        <v>1320</v>
      </c>
      <c r="E531" s="1">
        <v>50</v>
      </c>
      <c r="F5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31" s="1">
        <v>0</v>
      </c>
      <c r="H531" s="1">
        <v>1</v>
      </c>
      <c r="I531" s="1">
        <f>Tabela1[[#This Row],[Siblings and Spouses]]+Tabela1[[#This Row],[Parents and Children]]</f>
        <v>1</v>
      </c>
      <c r="J531" s="3">
        <v>26</v>
      </c>
      <c r="K5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31" s="2" t="s">
        <v>396</v>
      </c>
    </row>
    <row r="532" spans="1:12" x14ac:dyDescent="0.25">
      <c r="A532" s="1" t="s">
        <v>1350</v>
      </c>
      <c r="B532" s="1" t="s">
        <v>1348</v>
      </c>
      <c r="C532" s="1" t="s">
        <v>531</v>
      </c>
      <c r="D532" s="1" t="s">
        <v>1321</v>
      </c>
      <c r="E532" s="1">
        <v>19</v>
      </c>
      <c r="F5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32" s="1">
        <v>0</v>
      </c>
      <c r="H532" s="1">
        <v>0</v>
      </c>
      <c r="I532" s="1">
        <f>Tabela1[[#This Row],[Siblings and Spouses]]+Tabela1[[#This Row],[Parents and Children]]</f>
        <v>0</v>
      </c>
      <c r="J532" s="3">
        <v>10.5</v>
      </c>
      <c r="K5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2" s="2" t="s">
        <v>396</v>
      </c>
    </row>
    <row r="533" spans="1:12" x14ac:dyDescent="0.25">
      <c r="A533" s="1" t="s">
        <v>1350</v>
      </c>
      <c r="B533" s="1" t="s">
        <v>1348</v>
      </c>
      <c r="C533" s="1" t="s">
        <v>532</v>
      </c>
      <c r="D533" s="1" t="s">
        <v>1321</v>
      </c>
      <c r="E533" s="1" t="s">
        <v>1323</v>
      </c>
      <c r="F5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533" s="1">
        <v>0</v>
      </c>
      <c r="H533" s="1">
        <v>0</v>
      </c>
      <c r="I533" s="1">
        <f>Tabela1[[#This Row],[Siblings and Spouses]]+Tabela1[[#This Row],[Parents and Children]]</f>
        <v>0</v>
      </c>
      <c r="J533" s="3">
        <v>15.05</v>
      </c>
      <c r="K5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3" s="2" t="s">
        <v>1318</v>
      </c>
    </row>
    <row r="534" spans="1:12" x14ac:dyDescent="0.25">
      <c r="A534" s="1" t="s">
        <v>1350</v>
      </c>
      <c r="B534" s="1" t="s">
        <v>1348</v>
      </c>
      <c r="C534" s="1" t="s">
        <v>533</v>
      </c>
      <c r="D534" s="1" t="s">
        <v>1321</v>
      </c>
      <c r="E534" s="1">
        <v>41</v>
      </c>
      <c r="F5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34" s="1">
        <v>0</v>
      </c>
      <c r="H534" s="1">
        <v>0</v>
      </c>
      <c r="I534" s="1">
        <f>Tabela1[[#This Row],[Siblings and Spouses]]+Tabela1[[#This Row],[Parents and Children]]</f>
        <v>0</v>
      </c>
      <c r="J534" s="3">
        <v>13</v>
      </c>
      <c r="K5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4" s="2" t="s">
        <v>396</v>
      </c>
    </row>
    <row r="535" spans="1:12" x14ac:dyDescent="0.25">
      <c r="A535" s="1" t="s">
        <v>1350</v>
      </c>
      <c r="B535" s="1" t="s">
        <v>1337</v>
      </c>
      <c r="C535" s="1" t="s">
        <v>534</v>
      </c>
      <c r="D535" s="1" t="s">
        <v>1320</v>
      </c>
      <c r="E535" s="1">
        <v>21</v>
      </c>
      <c r="F5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35" s="1">
        <v>0</v>
      </c>
      <c r="H535" s="1">
        <v>1</v>
      </c>
      <c r="I535" s="1">
        <f>Tabela1[[#This Row],[Siblings and Spouses]]+Tabela1[[#This Row],[Parents and Children]]</f>
        <v>1</v>
      </c>
      <c r="J535" s="3">
        <v>21</v>
      </c>
      <c r="K5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5" s="2" t="s">
        <v>396</v>
      </c>
    </row>
    <row r="536" spans="1:12" x14ac:dyDescent="0.25">
      <c r="A536" s="1" t="s">
        <v>1350</v>
      </c>
      <c r="B536" s="1" t="s">
        <v>1337</v>
      </c>
      <c r="C536" s="1" t="s">
        <v>535</v>
      </c>
      <c r="D536" s="1" t="s">
        <v>1320</v>
      </c>
      <c r="E536" s="1">
        <v>19</v>
      </c>
      <c r="F5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36" s="1">
        <v>0</v>
      </c>
      <c r="H536" s="1">
        <v>0</v>
      </c>
      <c r="I536" s="1">
        <f>Tabela1[[#This Row],[Siblings and Spouses]]+Tabela1[[#This Row],[Parents and Children]]</f>
        <v>0</v>
      </c>
      <c r="J536" s="3">
        <v>26</v>
      </c>
      <c r="K5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36" s="2" t="s">
        <v>396</v>
      </c>
    </row>
    <row r="537" spans="1:12" x14ac:dyDescent="0.25">
      <c r="A537" s="1" t="s">
        <v>1350</v>
      </c>
      <c r="B537" s="1" t="s">
        <v>1348</v>
      </c>
      <c r="C537" s="1" t="s">
        <v>536</v>
      </c>
      <c r="D537" s="1" t="s">
        <v>1321</v>
      </c>
      <c r="E537" s="1">
        <v>43</v>
      </c>
      <c r="F5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37" s="1">
        <v>0</v>
      </c>
      <c r="H537" s="1">
        <v>1</v>
      </c>
      <c r="I537" s="1">
        <f>Tabela1[[#This Row],[Siblings and Spouses]]+Tabela1[[#This Row],[Parents and Children]]</f>
        <v>1</v>
      </c>
      <c r="J537" s="3">
        <v>21</v>
      </c>
      <c r="K5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7" s="2" t="s">
        <v>396</v>
      </c>
    </row>
    <row r="538" spans="1:12" x14ac:dyDescent="0.25">
      <c r="A538" s="1" t="s">
        <v>1350</v>
      </c>
      <c r="B538" s="1" t="s">
        <v>1337</v>
      </c>
      <c r="C538" s="1" t="s">
        <v>537</v>
      </c>
      <c r="D538" s="1" t="s">
        <v>1320</v>
      </c>
      <c r="E538" s="1">
        <v>32</v>
      </c>
      <c r="F5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38" s="1">
        <v>0</v>
      </c>
      <c r="H538" s="1">
        <v>0</v>
      </c>
      <c r="I538" s="1">
        <f>Tabela1[[#This Row],[Siblings and Spouses]]+Tabela1[[#This Row],[Parents and Children]]</f>
        <v>0</v>
      </c>
      <c r="J538" s="3">
        <v>13</v>
      </c>
      <c r="K5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8" s="2" t="s">
        <v>396</v>
      </c>
    </row>
    <row r="539" spans="1:12" x14ac:dyDescent="0.25">
      <c r="A539" s="1" t="s">
        <v>1350</v>
      </c>
      <c r="B539" s="1" t="s">
        <v>1348</v>
      </c>
      <c r="C539" s="1" t="s">
        <v>538</v>
      </c>
      <c r="D539" s="1" t="s">
        <v>1321</v>
      </c>
      <c r="E539" s="1">
        <v>34</v>
      </c>
      <c r="F5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39" s="1">
        <v>0</v>
      </c>
      <c r="H539" s="1">
        <v>0</v>
      </c>
      <c r="I539" s="1">
        <f>Tabela1[[#This Row],[Siblings and Spouses]]+Tabela1[[#This Row],[Parents and Children]]</f>
        <v>0</v>
      </c>
      <c r="J539" s="3">
        <v>13</v>
      </c>
      <c r="K5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39" s="2" t="s">
        <v>396</v>
      </c>
    </row>
    <row r="540" spans="1:12" x14ac:dyDescent="0.25">
      <c r="A540" s="1" t="s">
        <v>1350</v>
      </c>
      <c r="B540" s="1" t="s">
        <v>1337</v>
      </c>
      <c r="C540" s="1" t="s">
        <v>539</v>
      </c>
      <c r="D540" s="1" t="s">
        <v>1321</v>
      </c>
      <c r="E540" s="1">
        <v>30</v>
      </c>
      <c r="F5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40" s="1">
        <v>0</v>
      </c>
      <c r="H540" s="1">
        <v>0</v>
      </c>
      <c r="I540" s="1">
        <f>Tabela1[[#This Row],[Siblings and Spouses]]+Tabela1[[#This Row],[Parents and Children]]</f>
        <v>0</v>
      </c>
      <c r="J540" s="3">
        <v>12.737500000000001</v>
      </c>
      <c r="K5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0" s="2" t="s">
        <v>1318</v>
      </c>
    </row>
    <row r="541" spans="1:12" x14ac:dyDescent="0.25">
      <c r="A541" s="1" t="s">
        <v>1350</v>
      </c>
      <c r="B541" s="1" t="s">
        <v>1348</v>
      </c>
      <c r="C541" s="1" t="s">
        <v>540</v>
      </c>
      <c r="D541" s="1" t="s">
        <v>1321</v>
      </c>
      <c r="E541" s="1">
        <v>27</v>
      </c>
      <c r="F5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41" s="1">
        <v>0</v>
      </c>
      <c r="H541" s="1">
        <v>0</v>
      </c>
      <c r="I541" s="1">
        <f>Tabela1[[#This Row],[Siblings and Spouses]]+Tabela1[[#This Row],[Parents and Children]]</f>
        <v>0</v>
      </c>
      <c r="J541" s="3">
        <v>15.033300000000001</v>
      </c>
      <c r="K5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1" s="2" t="s">
        <v>1318</v>
      </c>
    </row>
    <row r="542" spans="1:12" x14ac:dyDescent="0.25">
      <c r="A542" s="1" t="s">
        <v>1350</v>
      </c>
      <c r="B542" s="1" t="s">
        <v>1337</v>
      </c>
      <c r="C542" s="1" t="s">
        <v>541</v>
      </c>
      <c r="D542" s="1" t="s">
        <v>1320</v>
      </c>
      <c r="E542" s="1">
        <v>2</v>
      </c>
      <c r="F5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42" s="1">
        <v>1</v>
      </c>
      <c r="H542" s="1">
        <v>1</v>
      </c>
      <c r="I542" s="1">
        <f>Tabela1[[#This Row],[Siblings and Spouses]]+Tabela1[[#This Row],[Parents and Children]]</f>
        <v>2</v>
      </c>
      <c r="J542" s="3">
        <v>26</v>
      </c>
      <c r="K5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42" s="2" t="s">
        <v>396</v>
      </c>
    </row>
    <row r="543" spans="1:12" x14ac:dyDescent="0.25">
      <c r="A543" s="1" t="s">
        <v>1350</v>
      </c>
      <c r="B543" s="1" t="s">
        <v>1337</v>
      </c>
      <c r="C543" s="1" t="s">
        <v>542</v>
      </c>
      <c r="D543" s="1" t="s">
        <v>1320</v>
      </c>
      <c r="E543" s="1">
        <v>8</v>
      </c>
      <c r="F5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43" s="1">
        <v>1</v>
      </c>
      <c r="H543" s="1">
        <v>1</v>
      </c>
      <c r="I543" s="1">
        <f>Tabela1[[#This Row],[Siblings and Spouses]]+Tabela1[[#This Row],[Parents and Children]]</f>
        <v>2</v>
      </c>
      <c r="J543" s="3">
        <v>26</v>
      </c>
      <c r="K5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43" s="2" t="s">
        <v>396</v>
      </c>
    </row>
    <row r="544" spans="1:12" x14ac:dyDescent="0.25">
      <c r="A544" s="1" t="s">
        <v>1350</v>
      </c>
      <c r="B544" s="1" t="s">
        <v>1337</v>
      </c>
      <c r="C544" s="1" t="s">
        <v>543</v>
      </c>
      <c r="D544" s="1" t="s">
        <v>1320</v>
      </c>
      <c r="E544" s="1">
        <v>33</v>
      </c>
      <c r="F5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44" s="1">
        <v>0</v>
      </c>
      <c r="H544" s="1">
        <v>2</v>
      </c>
      <c r="I544" s="1">
        <f>Tabela1[[#This Row],[Siblings and Spouses]]+Tabela1[[#This Row],[Parents and Children]]</f>
        <v>2</v>
      </c>
      <c r="J544" s="3">
        <v>26</v>
      </c>
      <c r="K5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44" s="2" t="s">
        <v>396</v>
      </c>
    </row>
    <row r="545" spans="1:12" x14ac:dyDescent="0.25">
      <c r="A545" s="1" t="s">
        <v>1350</v>
      </c>
      <c r="B545" s="1" t="s">
        <v>1348</v>
      </c>
      <c r="C545" s="1" t="s">
        <v>544</v>
      </c>
      <c r="D545" s="1" t="s">
        <v>1321</v>
      </c>
      <c r="E545" s="1">
        <v>36</v>
      </c>
      <c r="F5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45" s="1">
        <v>0</v>
      </c>
      <c r="H545" s="1">
        <v>0</v>
      </c>
      <c r="I545" s="1">
        <f>Tabela1[[#This Row],[Siblings and Spouses]]+Tabela1[[#This Row],[Parents and Children]]</f>
        <v>0</v>
      </c>
      <c r="J545" s="3">
        <v>10.5</v>
      </c>
      <c r="K5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5" s="2" t="s">
        <v>396</v>
      </c>
    </row>
    <row r="546" spans="1:12" x14ac:dyDescent="0.25">
      <c r="A546" s="1" t="s">
        <v>1350</v>
      </c>
      <c r="B546" s="1" t="s">
        <v>1348</v>
      </c>
      <c r="C546" s="1" t="s">
        <v>545</v>
      </c>
      <c r="D546" s="1" t="s">
        <v>1321</v>
      </c>
      <c r="E546" s="1">
        <v>34</v>
      </c>
      <c r="F5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46" s="1">
        <v>1</v>
      </c>
      <c r="H546" s="1">
        <v>0</v>
      </c>
      <c r="I546" s="1">
        <f>Tabela1[[#This Row],[Siblings and Spouses]]+Tabela1[[#This Row],[Parents and Children]]</f>
        <v>1</v>
      </c>
      <c r="J546" s="3">
        <v>21</v>
      </c>
      <c r="K5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6" s="2" t="s">
        <v>396</v>
      </c>
    </row>
    <row r="547" spans="1:12" x14ac:dyDescent="0.25">
      <c r="A547" s="1" t="s">
        <v>1350</v>
      </c>
      <c r="B547" s="1" t="s">
        <v>1337</v>
      </c>
      <c r="C547" s="1" t="s">
        <v>546</v>
      </c>
      <c r="D547" s="1" t="s">
        <v>1320</v>
      </c>
      <c r="E547" s="1">
        <v>30</v>
      </c>
      <c r="F5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47" s="1">
        <v>3</v>
      </c>
      <c r="H547" s="1">
        <v>0</v>
      </c>
      <c r="I547" s="1">
        <f>Tabela1[[#This Row],[Siblings and Spouses]]+Tabela1[[#This Row],[Parents and Children]]</f>
        <v>3</v>
      </c>
      <c r="J547" s="3">
        <v>21</v>
      </c>
      <c r="K5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7" s="2" t="s">
        <v>396</v>
      </c>
    </row>
    <row r="548" spans="1:12" x14ac:dyDescent="0.25">
      <c r="A548" s="1" t="s">
        <v>1350</v>
      </c>
      <c r="B548" s="1" t="s">
        <v>1337</v>
      </c>
      <c r="C548" s="1" t="s">
        <v>547</v>
      </c>
      <c r="D548" s="1" t="s">
        <v>1320</v>
      </c>
      <c r="E548" s="1">
        <v>28</v>
      </c>
      <c r="F5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48" s="1">
        <v>0</v>
      </c>
      <c r="H548" s="1">
        <v>0</v>
      </c>
      <c r="I548" s="1">
        <f>Tabela1[[#This Row],[Siblings and Spouses]]+Tabela1[[#This Row],[Parents and Children]]</f>
        <v>0</v>
      </c>
      <c r="J548" s="3">
        <v>13</v>
      </c>
      <c r="K5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8" s="2" t="s">
        <v>396</v>
      </c>
    </row>
    <row r="549" spans="1:12" x14ac:dyDescent="0.25">
      <c r="A549" s="1" t="s">
        <v>1350</v>
      </c>
      <c r="B549" s="1" t="s">
        <v>1348</v>
      </c>
      <c r="C549" s="1" t="s">
        <v>548</v>
      </c>
      <c r="D549" s="1" t="s">
        <v>1321</v>
      </c>
      <c r="E549" s="1">
        <v>23</v>
      </c>
      <c r="F5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49" s="1">
        <v>0</v>
      </c>
      <c r="H549" s="1">
        <v>0</v>
      </c>
      <c r="I549" s="1">
        <f>Tabela1[[#This Row],[Siblings and Spouses]]+Tabela1[[#This Row],[Parents and Children]]</f>
        <v>0</v>
      </c>
      <c r="J549" s="3">
        <v>15.0458</v>
      </c>
      <c r="K5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49" s="2" t="s">
        <v>1318</v>
      </c>
    </row>
    <row r="550" spans="1:12" x14ac:dyDescent="0.25">
      <c r="A550" s="1" t="s">
        <v>1350</v>
      </c>
      <c r="B550" s="1" t="s">
        <v>1337</v>
      </c>
      <c r="C550" s="1" t="s">
        <v>549</v>
      </c>
      <c r="D550" s="1" t="s">
        <v>1321</v>
      </c>
      <c r="E550" s="1">
        <v>0.83330000000000004</v>
      </c>
      <c r="F5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50" s="1">
        <v>1</v>
      </c>
      <c r="H550" s="1">
        <v>1</v>
      </c>
      <c r="I550" s="1">
        <f>Tabela1[[#This Row],[Siblings and Spouses]]+Tabela1[[#This Row],[Parents and Children]]</f>
        <v>2</v>
      </c>
      <c r="J550" s="3">
        <v>18.75</v>
      </c>
      <c r="K5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0" s="2" t="s">
        <v>396</v>
      </c>
    </row>
    <row r="551" spans="1:12" x14ac:dyDescent="0.25">
      <c r="A551" s="1" t="s">
        <v>1350</v>
      </c>
      <c r="B551" s="1" t="s">
        <v>1337</v>
      </c>
      <c r="C551" s="1" t="s">
        <v>550</v>
      </c>
      <c r="D551" s="1" t="s">
        <v>1321</v>
      </c>
      <c r="E551" s="1">
        <v>3</v>
      </c>
      <c r="F5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51" s="1">
        <v>1</v>
      </c>
      <c r="H551" s="1">
        <v>1</v>
      </c>
      <c r="I551" s="1">
        <f>Tabela1[[#This Row],[Siblings and Spouses]]+Tabela1[[#This Row],[Parents and Children]]</f>
        <v>2</v>
      </c>
      <c r="J551" s="3">
        <v>18.75</v>
      </c>
      <c r="K5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1" s="2" t="s">
        <v>396</v>
      </c>
    </row>
    <row r="552" spans="1:12" x14ac:dyDescent="0.25">
      <c r="A552" s="1" t="s">
        <v>1350</v>
      </c>
      <c r="B552" s="1" t="s">
        <v>1337</v>
      </c>
      <c r="C552" s="1" t="s">
        <v>551</v>
      </c>
      <c r="D552" s="1" t="s">
        <v>1320</v>
      </c>
      <c r="E552" s="1">
        <v>24</v>
      </c>
      <c r="F5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2" s="1">
        <v>2</v>
      </c>
      <c r="H552" s="1">
        <v>3</v>
      </c>
      <c r="I552" s="1">
        <f>Tabela1[[#This Row],[Siblings and Spouses]]+Tabela1[[#This Row],[Parents and Children]]</f>
        <v>5</v>
      </c>
      <c r="J552" s="3">
        <v>18.75</v>
      </c>
      <c r="K5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2" s="2" t="s">
        <v>396</v>
      </c>
    </row>
    <row r="553" spans="1:12" x14ac:dyDescent="0.25">
      <c r="A553" s="1" t="s">
        <v>1350</v>
      </c>
      <c r="B553" s="1" t="s">
        <v>1337</v>
      </c>
      <c r="C553" s="1" t="s">
        <v>552</v>
      </c>
      <c r="D553" s="1" t="s">
        <v>1320</v>
      </c>
      <c r="E553" s="1">
        <v>50</v>
      </c>
      <c r="F5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53" s="1">
        <v>0</v>
      </c>
      <c r="H553" s="1">
        <v>0</v>
      </c>
      <c r="I553" s="1">
        <f>Tabela1[[#This Row],[Siblings and Spouses]]+Tabela1[[#This Row],[Parents and Children]]</f>
        <v>0</v>
      </c>
      <c r="J553" s="3">
        <v>10.5</v>
      </c>
      <c r="K5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3" s="2" t="s">
        <v>396</v>
      </c>
    </row>
    <row r="554" spans="1:12" x14ac:dyDescent="0.25">
      <c r="A554" s="1" t="s">
        <v>1350</v>
      </c>
      <c r="B554" s="1" t="s">
        <v>1348</v>
      </c>
      <c r="C554" s="1" t="s">
        <v>553</v>
      </c>
      <c r="D554" s="1" t="s">
        <v>1321</v>
      </c>
      <c r="E554" s="1">
        <v>19</v>
      </c>
      <c r="F5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4" s="1">
        <v>0</v>
      </c>
      <c r="H554" s="1">
        <v>0</v>
      </c>
      <c r="I554" s="1">
        <f>Tabela1[[#This Row],[Siblings and Spouses]]+Tabela1[[#This Row],[Parents and Children]]</f>
        <v>0</v>
      </c>
      <c r="J554" s="3">
        <v>10.5</v>
      </c>
      <c r="K5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4" s="2" t="s">
        <v>396</v>
      </c>
    </row>
    <row r="555" spans="1:12" x14ac:dyDescent="0.25">
      <c r="A555" s="1" t="s">
        <v>1350</v>
      </c>
      <c r="B555" s="1" t="s">
        <v>1337</v>
      </c>
      <c r="C555" s="1" t="s">
        <v>554</v>
      </c>
      <c r="D555" s="1" t="s">
        <v>1320</v>
      </c>
      <c r="E555" s="1">
        <v>21</v>
      </c>
      <c r="F5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5" s="1">
        <v>0</v>
      </c>
      <c r="H555" s="1">
        <v>0</v>
      </c>
      <c r="I555" s="1">
        <f>Tabela1[[#This Row],[Siblings and Spouses]]+Tabela1[[#This Row],[Parents and Children]]</f>
        <v>0</v>
      </c>
      <c r="J555" s="3">
        <v>10.5</v>
      </c>
      <c r="K5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5" s="2" t="s">
        <v>396</v>
      </c>
    </row>
    <row r="556" spans="1:12" x14ac:dyDescent="0.25">
      <c r="A556" s="1" t="s">
        <v>1350</v>
      </c>
      <c r="B556" s="1" t="s">
        <v>1348</v>
      </c>
      <c r="C556" s="1" t="s">
        <v>555</v>
      </c>
      <c r="D556" s="1" t="s">
        <v>1321</v>
      </c>
      <c r="E556" s="1">
        <v>26</v>
      </c>
      <c r="F5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6" s="1">
        <v>0</v>
      </c>
      <c r="H556" s="1">
        <v>0</v>
      </c>
      <c r="I556" s="1">
        <f>Tabela1[[#This Row],[Siblings and Spouses]]+Tabela1[[#This Row],[Parents and Children]]</f>
        <v>0</v>
      </c>
      <c r="J556" s="3">
        <v>13</v>
      </c>
      <c r="K5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6" s="2" t="s">
        <v>396</v>
      </c>
    </row>
    <row r="557" spans="1:12" x14ac:dyDescent="0.25">
      <c r="A557" s="1" t="s">
        <v>1350</v>
      </c>
      <c r="B557" s="1" t="s">
        <v>1348</v>
      </c>
      <c r="C557" s="1" t="s">
        <v>556</v>
      </c>
      <c r="D557" s="1" t="s">
        <v>1321</v>
      </c>
      <c r="E557" s="1">
        <v>25</v>
      </c>
      <c r="F5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7" s="1">
        <v>0</v>
      </c>
      <c r="H557" s="1">
        <v>0</v>
      </c>
      <c r="I557" s="1">
        <f>Tabela1[[#This Row],[Siblings and Spouses]]+Tabela1[[#This Row],[Parents and Children]]</f>
        <v>0</v>
      </c>
      <c r="J557" s="3">
        <v>13</v>
      </c>
      <c r="K5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57" s="2" t="s">
        <v>396</v>
      </c>
    </row>
    <row r="558" spans="1:12" x14ac:dyDescent="0.25">
      <c r="A558" s="1" t="s">
        <v>1350</v>
      </c>
      <c r="B558" s="1" t="s">
        <v>1348</v>
      </c>
      <c r="C558" s="1" t="s">
        <v>557</v>
      </c>
      <c r="D558" s="1" t="s">
        <v>1321</v>
      </c>
      <c r="E558" s="1">
        <v>27</v>
      </c>
      <c r="F5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8" s="1">
        <v>0</v>
      </c>
      <c r="H558" s="1">
        <v>0</v>
      </c>
      <c r="I558" s="1">
        <f>Tabela1[[#This Row],[Siblings and Spouses]]+Tabela1[[#This Row],[Parents and Children]]</f>
        <v>0</v>
      </c>
      <c r="J558" s="3">
        <v>26</v>
      </c>
      <c r="K5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58" s="2" t="s">
        <v>396</v>
      </c>
    </row>
    <row r="559" spans="1:12" x14ac:dyDescent="0.25">
      <c r="A559" s="1" t="s">
        <v>1350</v>
      </c>
      <c r="B559" s="1" t="s">
        <v>1337</v>
      </c>
      <c r="C559" s="1" t="s">
        <v>558</v>
      </c>
      <c r="D559" s="1" t="s">
        <v>1320</v>
      </c>
      <c r="E559" s="1">
        <v>25</v>
      </c>
      <c r="F5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59" s="1">
        <v>0</v>
      </c>
      <c r="H559" s="1">
        <v>1</v>
      </c>
      <c r="I559" s="1">
        <f>Tabela1[[#This Row],[Siblings and Spouses]]+Tabela1[[#This Row],[Parents and Children]]</f>
        <v>1</v>
      </c>
      <c r="J559" s="3">
        <v>26</v>
      </c>
      <c r="K5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59" s="2" t="s">
        <v>396</v>
      </c>
    </row>
    <row r="560" spans="1:12" x14ac:dyDescent="0.25">
      <c r="A560" s="1" t="s">
        <v>1350</v>
      </c>
      <c r="B560" s="1" t="s">
        <v>1337</v>
      </c>
      <c r="C560" s="1" t="s">
        <v>559</v>
      </c>
      <c r="D560" s="1" t="s">
        <v>1320</v>
      </c>
      <c r="E560" s="1">
        <v>18</v>
      </c>
      <c r="F5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60" s="1">
        <v>0</v>
      </c>
      <c r="H560" s="1">
        <v>2</v>
      </c>
      <c r="I560" s="1">
        <f>Tabela1[[#This Row],[Siblings and Spouses]]+Tabela1[[#This Row],[Parents and Children]]</f>
        <v>2</v>
      </c>
      <c r="J560" s="3">
        <v>13</v>
      </c>
      <c r="K5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0" s="2" t="s">
        <v>396</v>
      </c>
    </row>
    <row r="561" spans="1:12" x14ac:dyDescent="0.25">
      <c r="A561" s="1" t="s">
        <v>1350</v>
      </c>
      <c r="B561" s="1" t="s">
        <v>1337</v>
      </c>
      <c r="C561" s="1" t="s">
        <v>560</v>
      </c>
      <c r="D561" s="1" t="s">
        <v>1320</v>
      </c>
      <c r="E561" s="1">
        <v>20</v>
      </c>
      <c r="F5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61" s="1">
        <v>0</v>
      </c>
      <c r="H561" s="1">
        <v>0</v>
      </c>
      <c r="I561" s="1">
        <f>Tabela1[[#This Row],[Siblings and Spouses]]+Tabela1[[#This Row],[Parents and Children]]</f>
        <v>0</v>
      </c>
      <c r="J561" s="3">
        <v>36.75</v>
      </c>
      <c r="K5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61" s="2" t="s">
        <v>396</v>
      </c>
    </row>
    <row r="562" spans="1:12" x14ac:dyDescent="0.25">
      <c r="A562" s="1" t="s">
        <v>1350</v>
      </c>
      <c r="B562" s="1" t="s">
        <v>1337</v>
      </c>
      <c r="C562" s="1" t="s">
        <v>561</v>
      </c>
      <c r="D562" s="1" t="s">
        <v>1320</v>
      </c>
      <c r="E562" s="1">
        <v>30</v>
      </c>
      <c r="F5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62" s="1">
        <v>0</v>
      </c>
      <c r="H562" s="1">
        <v>0</v>
      </c>
      <c r="I562" s="1">
        <f>Tabela1[[#This Row],[Siblings and Spouses]]+Tabela1[[#This Row],[Parents and Children]]</f>
        <v>0</v>
      </c>
      <c r="J562" s="3">
        <v>13</v>
      </c>
      <c r="K5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2" s="2" t="s">
        <v>396</v>
      </c>
    </row>
    <row r="563" spans="1:12" x14ac:dyDescent="0.25">
      <c r="A563" s="1" t="s">
        <v>1350</v>
      </c>
      <c r="B563" s="1" t="s">
        <v>1348</v>
      </c>
      <c r="C563" s="1" t="s">
        <v>562</v>
      </c>
      <c r="D563" s="1" t="s">
        <v>1321</v>
      </c>
      <c r="E563" s="1">
        <v>59</v>
      </c>
      <c r="F5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563" s="1">
        <v>0</v>
      </c>
      <c r="H563" s="1">
        <v>0</v>
      </c>
      <c r="I563" s="1">
        <f>Tabela1[[#This Row],[Siblings and Spouses]]+Tabela1[[#This Row],[Parents and Children]]</f>
        <v>0</v>
      </c>
      <c r="J563" s="3">
        <v>13.5</v>
      </c>
      <c r="K5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3" s="2" t="s">
        <v>396</v>
      </c>
    </row>
    <row r="564" spans="1:12" x14ac:dyDescent="0.25">
      <c r="A564" s="1" t="s">
        <v>1350</v>
      </c>
      <c r="B564" s="1" t="s">
        <v>1337</v>
      </c>
      <c r="C564" s="1" t="s">
        <v>563</v>
      </c>
      <c r="D564" s="1" t="s">
        <v>1320</v>
      </c>
      <c r="E564" s="1">
        <v>30</v>
      </c>
      <c r="F5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64" s="1">
        <v>0</v>
      </c>
      <c r="H564" s="1">
        <v>0</v>
      </c>
      <c r="I564" s="1">
        <f>Tabela1[[#This Row],[Siblings and Spouses]]+Tabela1[[#This Row],[Parents and Children]]</f>
        <v>0</v>
      </c>
      <c r="J564" s="3">
        <v>12.35</v>
      </c>
      <c r="K5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4" s="2" t="s">
        <v>1319</v>
      </c>
    </row>
    <row r="565" spans="1:12" x14ac:dyDescent="0.25">
      <c r="A565" s="1" t="s">
        <v>1350</v>
      </c>
      <c r="B565" s="1" t="s">
        <v>1348</v>
      </c>
      <c r="C565" s="1" t="s">
        <v>564</v>
      </c>
      <c r="D565" s="1" t="s">
        <v>1321</v>
      </c>
      <c r="E565" s="1">
        <v>35</v>
      </c>
      <c r="F5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65" s="1">
        <v>0</v>
      </c>
      <c r="H565" s="1">
        <v>0</v>
      </c>
      <c r="I565" s="1">
        <f>Tabela1[[#This Row],[Siblings and Spouses]]+Tabela1[[#This Row],[Parents and Children]]</f>
        <v>0</v>
      </c>
      <c r="J565" s="3">
        <v>10.5</v>
      </c>
      <c r="K5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5" s="2" t="s">
        <v>396</v>
      </c>
    </row>
    <row r="566" spans="1:12" x14ac:dyDescent="0.25">
      <c r="A566" s="1" t="s">
        <v>1350</v>
      </c>
      <c r="B566" s="1" t="s">
        <v>1337</v>
      </c>
      <c r="C566" s="1" t="s">
        <v>565</v>
      </c>
      <c r="D566" s="1" t="s">
        <v>1320</v>
      </c>
      <c r="E566" s="1">
        <v>40</v>
      </c>
      <c r="F5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66" s="1">
        <v>0</v>
      </c>
      <c r="H566" s="1">
        <v>0</v>
      </c>
      <c r="I566" s="1">
        <f>Tabela1[[#This Row],[Siblings and Spouses]]+Tabela1[[#This Row],[Parents and Children]]</f>
        <v>0</v>
      </c>
      <c r="J566" s="3">
        <v>13</v>
      </c>
      <c r="K5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6" s="2" t="s">
        <v>396</v>
      </c>
    </row>
    <row r="567" spans="1:12" x14ac:dyDescent="0.25">
      <c r="A567" s="1" t="s">
        <v>1350</v>
      </c>
      <c r="B567" s="1" t="s">
        <v>1348</v>
      </c>
      <c r="C567" s="1" t="s">
        <v>566</v>
      </c>
      <c r="D567" s="1" t="s">
        <v>1321</v>
      </c>
      <c r="E567" s="1">
        <v>25</v>
      </c>
      <c r="F5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67" s="1">
        <v>0</v>
      </c>
      <c r="H567" s="1">
        <v>0</v>
      </c>
      <c r="I567" s="1">
        <f>Tabela1[[#This Row],[Siblings and Spouses]]+Tabela1[[#This Row],[Parents and Children]]</f>
        <v>0</v>
      </c>
      <c r="J567" s="3">
        <v>13</v>
      </c>
      <c r="K5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7" s="2" t="s">
        <v>396</v>
      </c>
    </row>
    <row r="568" spans="1:12" x14ac:dyDescent="0.25">
      <c r="A568" s="1" t="s">
        <v>1350</v>
      </c>
      <c r="B568" s="1" t="s">
        <v>1348</v>
      </c>
      <c r="C568" s="1" t="s">
        <v>567</v>
      </c>
      <c r="D568" s="1" t="s">
        <v>1321</v>
      </c>
      <c r="E568" s="1">
        <v>41</v>
      </c>
      <c r="F5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68" s="1">
        <v>0</v>
      </c>
      <c r="H568" s="1">
        <v>0</v>
      </c>
      <c r="I568" s="1">
        <f>Tabela1[[#This Row],[Siblings and Spouses]]+Tabela1[[#This Row],[Parents and Children]]</f>
        <v>0</v>
      </c>
      <c r="J568" s="3">
        <v>15.0458</v>
      </c>
      <c r="K5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8" s="2" t="s">
        <v>1318</v>
      </c>
    </row>
    <row r="569" spans="1:12" x14ac:dyDescent="0.25">
      <c r="A569" s="1" t="s">
        <v>1350</v>
      </c>
      <c r="B569" s="1" t="s">
        <v>1348</v>
      </c>
      <c r="C569" s="1" t="s">
        <v>568</v>
      </c>
      <c r="D569" s="1" t="s">
        <v>1321</v>
      </c>
      <c r="E569" s="1">
        <v>25</v>
      </c>
      <c r="F5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69" s="1">
        <v>0</v>
      </c>
      <c r="H569" s="1">
        <v>0</v>
      </c>
      <c r="I569" s="1">
        <f>Tabela1[[#This Row],[Siblings and Spouses]]+Tabela1[[#This Row],[Parents and Children]]</f>
        <v>0</v>
      </c>
      <c r="J569" s="3">
        <v>10.5</v>
      </c>
      <c r="K5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69" s="2" t="s">
        <v>396</v>
      </c>
    </row>
    <row r="570" spans="1:12" x14ac:dyDescent="0.25">
      <c r="A570" s="1" t="s">
        <v>1350</v>
      </c>
      <c r="B570" s="1" t="s">
        <v>1348</v>
      </c>
      <c r="C570" s="1" t="s">
        <v>569</v>
      </c>
      <c r="D570" s="1" t="s">
        <v>1321</v>
      </c>
      <c r="E570" s="1">
        <v>18.5</v>
      </c>
      <c r="F5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70" s="1">
        <v>0</v>
      </c>
      <c r="H570" s="1">
        <v>0</v>
      </c>
      <c r="I570" s="1">
        <f>Tabela1[[#This Row],[Siblings and Spouses]]+Tabela1[[#This Row],[Parents and Children]]</f>
        <v>0</v>
      </c>
      <c r="J570" s="3">
        <v>13</v>
      </c>
      <c r="K5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0" s="2" t="s">
        <v>396</v>
      </c>
    </row>
    <row r="571" spans="1:12" x14ac:dyDescent="0.25">
      <c r="A571" s="1" t="s">
        <v>1350</v>
      </c>
      <c r="B571" s="1" t="s">
        <v>1348</v>
      </c>
      <c r="C571" s="1" t="s">
        <v>570</v>
      </c>
      <c r="D571" s="1" t="s">
        <v>1321</v>
      </c>
      <c r="E571" s="1">
        <v>14</v>
      </c>
      <c r="F5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71" s="1">
        <v>0</v>
      </c>
      <c r="H571" s="1">
        <v>0</v>
      </c>
      <c r="I571" s="1">
        <f>Tabela1[[#This Row],[Siblings and Spouses]]+Tabela1[[#This Row],[Parents and Children]]</f>
        <v>0</v>
      </c>
      <c r="J571" s="3">
        <v>65</v>
      </c>
      <c r="K5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571" s="2" t="s">
        <v>396</v>
      </c>
    </row>
    <row r="572" spans="1:12" x14ac:dyDescent="0.25">
      <c r="A572" s="1" t="s">
        <v>1350</v>
      </c>
      <c r="B572" s="1" t="s">
        <v>1337</v>
      </c>
      <c r="C572" s="1" t="s">
        <v>571</v>
      </c>
      <c r="D572" s="1" t="s">
        <v>1320</v>
      </c>
      <c r="E572" s="1">
        <v>50</v>
      </c>
      <c r="F5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572" s="1">
        <v>0</v>
      </c>
      <c r="H572" s="1">
        <v>0</v>
      </c>
      <c r="I572" s="1">
        <f>Tabela1[[#This Row],[Siblings and Spouses]]+Tabela1[[#This Row],[Parents and Children]]</f>
        <v>0</v>
      </c>
      <c r="J572" s="3">
        <v>10.5</v>
      </c>
      <c r="K5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2" s="2" t="s">
        <v>396</v>
      </c>
    </row>
    <row r="573" spans="1:12" x14ac:dyDescent="0.25">
      <c r="A573" s="1" t="s">
        <v>1350</v>
      </c>
      <c r="B573" s="1" t="s">
        <v>1348</v>
      </c>
      <c r="C573" s="1" t="s">
        <v>572</v>
      </c>
      <c r="D573" s="1" t="s">
        <v>1321</v>
      </c>
      <c r="E573" s="1">
        <v>23</v>
      </c>
      <c r="F5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73" s="1">
        <v>0</v>
      </c>
      <c r="H573" s="1">
        <v>0</v>
      </c>
      <c r="I573" s="1">
        <f>Tabela1[[#This Row],[Siblings and Spouses]]+Tabela1[[#This Row],[Parents and Children]]</f>
        <v>0</v>
      </c>
      <c r="J573" s="3">
        <v>13</v>
      </c>
      <c r="K5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3" s="2" t="s">
        <v>396</v>
      </c>
    </row>
    <row r="574" spans="1:12" x14ac:dyDescent="0.25">
      <c r="A574" s="1" t="s">
        <v>1350</v>
      </c>
      <c r="B574" s="1" t="s">
        <v>1337</v>
      </c>
      <c r="C574" s="1" t="s">
        <v>573</v>
      </c>
      <c r="D574" s="1" t="s">
        <v>1320</v>
      </c>
      <c r="E574" s="1">
        <v>28</v>
      </c>
      <c r="F5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74" s="1">
        <v>0</v>
      </c>
      <c r="H574" s="1">
        <v>0</v>
      </c>
      <c r="I574" s="1">
        <f>Tabela1[[#This Row],[Siblings and Spouses]]+Tabela1[[#This Row],[Parents and Children]]</f>
        <v>0</v>
      </c>
      <c r="J574" s="3">
        <v>12.65</v>
      </c>
      <c r="K5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4" s="2" t="s">
        <v>396</v>
      </c>
    </row>
    <row r="575" spans="1:12" x14ac:dyDescent="0.25">
      <c r="A575" s="1" t="s">
        <v>1350</v>
      </c>
      <c r="B575" s="1" t="s">
        <v>1337</v>
      </c>
      <c r="C575" s="1" t="s">
        <v>574</v>
      </c>
      <c r="D575" s="1" t="s">
        <v>1320</v>
      </c>
      <c r="E575" s="1">
        <v>27</v>
      </c>
      <c r="F5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75" s="1">
        <v>0</v>
      </c>
      <c r="H575" s="1">
        <v>0</v>
      </c>
      <c r="I575" s="1">
        <f>Tabela1[[#This Row],[Siblings and Spouses]]+Tabela1[[#This Row],[Parents and Children]]</f>
        <v>0</v>
      </c>
      <c r="J575" s="3">
        <v>10.5</v>
      </c>
      <c r="K5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5" s="2" t="s">
        <v>396</v>
      </c>
    </row>
    <row r="576" spans="1:12" x14ac:dyDescent="0.25">
      <c r="A576" s="1" t="s">
        <v>1350</v>
      </c>
      <c r="B576" s="1" t="s">
        <v>1348</v>
      </c>
      <c r="C576" s="1" t="s">
        <v>575</v>
      </c>
      <c r="D576" s="1" t="s">
        <v>1321</v>
      </c>
      <c r="E576" s="1">
        <v>29</v>
      </c>
      <c r="F5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76" s="1">
        <v>1</v>
      </c>
      <c r="H576" s="1">
        <v>0</v>
      </c>
      <c r="I576" s="1">
        <f>Tabela1[[#This Row],[Siblings and Spouses]]+Tabela1[[#This Row],[Parents and Children]]</f>
        <v>1</v>
      </c>
      <c r="J576" s="3">
        <v>21</v>
      </c>
      <c r="K5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6" s="2" t="s">
        <v>396</v>
      </c>
    </row>
    <row r="577" spans="1:12" x14ac:dyDescent="0.25">
      <c r="A577" s="1" t="s">
        <v>1350</v>
      </c>
      <c r="B577" s="1" t="s">
        <v>1348</v>
      </c>
      <c r="C577" s="1" t="s">
        <v>576</v>
      </c>
      <c r="D577" s="1" t="s">
        <v>1320</v>
      </c>
      <c r="E577" s="1">
        <v>27</v>
      </c>
      <c r="F5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77" s="1">
        <v>1</v>
      </c>
      <c r="H577" s="1">
        <v>0</v>
      </c>
      <c r="I577" s="1">
        <f>Tabela1[[#This Row],[Siblings and Spouses]]+Tabela1[[#This Row],[Parents and Children]]</f>
        <v>1</v>
      </c>
      <c r="J577" s="3">
        <v>21</v>
      </c>
      <c r="K5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7" s="2" t="s">
        <v>396</v>
      </c>
    </row>
    <row r="578" spans="1:12" x14ac:dyDescent="0.25">
      <c r="A578" s="1" t="s">
        <v>1350</v>
      </c>
      <c r="B578" s="1" t="s">
        <v>1348</v>
      </c>
      <c r="C578" s="1" t="s">
        <v>577</v>
      </c>
      <c r="D578" s="1" t="s">
        <v>1321</v>
      </c>
      <c r="E578" s="1">
        <v>40</v>
      </c>
      <c r="F5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78" s="1">
        <v>0</v>
      </c>
      <c r="H578" s="1">
        <v>0</v>
      </c>
      <c r="I578" s="1">
        <f>Tabela1[[#This Row],[Siblings and Spouses]]+Tabela1[[#This Row],[Parents and Children]]</f>
        <v>0</v>
      </c>
      <c r="J578" s="3">
        <v>13</v>
      </c>
      <c r="K5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8" s="2" t="s">
        <v>396</v>
      </c>
    </row>
    <row r="579" spans="1:12" x14ac:dyDescent="0.25">
      <c r="A579" s="1" t="s">
        <v>1350</v>
      </c>
      <c r="B579" s="1" t="s">
        <v>1337</v>
      </c>
      <c r="C579" s="1" t="s">
        <v>578</v>
      </c>
      <c r="D579" s="1" t="s">
        <v>1320</v>
      </c>
      <c r="E579" s="1">
        <v>31</v>
      </c>
      <c r="F5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79" s="1">
        <v>0</v>
      </c>
      <c r="H579" s="1">
        <v>0</v>
      </c>
      <c r="I579" s="1">
        <f>Tabela1[[#This Row],[Siblings and Spouses]]+Tabela1[[#This Row],[Parents and Children]]</f>
        <v>0</v>
      </c>
      <c r="J579" s="3">
        <v>21</v>
      </c>
      <c r="K5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79" s="2" t="s">
        <v>396</v>
      </c>
    </row>
    <row r="580" spans="1:12" x14ac:dyDescent="0.25">
      <c r="A580" s="1" t="s">
        <v>1350</v>
      </c>
      <c r="B580" s="1" t="s">
        <v>1348</v>
      </c>
      <c r="C580" s="1" t="s">
        <v>579</v>
      </c>
      <c r="D580" s="1" t="s">
        <v>1321</v>
      </c>
      <c r="E580" s="1">
        <v>30</v>
      </c>
      <c r="F5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80" s="1">
        <v>1</v>
      </c>
      <c r="H580" s="1">
        <v>0</v>
      </c>
      <c r="I580" s="1">
        <f>Tabela1[[#This Row],[Siblings and Spouses]]+Tabela1[[#This Row],[Parents and Children]]</f>
        <v>1</v>
      </c>
      <c r="J580" s="3">
        <v>21</v>
      </c>
      <c r="K5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0" s="2" t="s">
        <v>396</v>
      </c>
    </row>
    <row r="581" spans="1:12" x14ac:dyDescent="0.25">
      <c r="A581" s="1" t="s">
        <v>1350</v>
      </c>
      <c r="B581" s="1" t="s">
        <v>1348</v>
      </c>
      <c r="C581" s="1" t="s">
        <v>580</v>
      </c>
      <c r="D581" s="1" t="s">
        <v>1321</v>
      </c>
      <c r="E581" s="1">
        <v>23</v>
      </c>
      <c r="F5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81" s="1">
        <v>1</v>
      </c>
      <c r="H581" s="1">
        <v>0</v>
      </c>
      <c r="I581" s="1">
        <f>Tabela1[[#This Row],[Siblings and Spouses]]+Tabela1[[#This Row],[Parents and Children]]</f>
        <v>1</v>
      </c>
      <c r="J581" s="3">
        <v>10.5</v>
      </c>
      <c r="K5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1" s="2" t="s">
        <v>396</v>
      </c>
    </row>
    <row r="582" spans="1:12" x14ac:dyDescent="0.25">
      <c r="A582" s="1" t="s">
        <v>1350</v>
      </c>
      <c r="B582" s="1" t="s">
        <v>1337</v>
      </c>
      <c r="C582" s="1" t="s">
        <v>581</v>
      </c>
      <c r="D582" s="1" t="s">
        <v>1320</v>
      </c>
      <c r="E582" s="1">
        <v>31</v>
      </c>
      <c r="F5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82" s="1">
        <v>0</v>
      </c>
      <c r="H582" s="1">
        <v>0</v>
      </c>
      <c r="I582" s="1">
        <f>Tabela1[[#This Row],[Siblings and Spouses]]+Tabela1[[#This Row],[Parents and Children]]</f>
        <v>0</v>
      </c>
      <c r="J582" s="3">
        <v>21</v>
      </c>
      <c r="K5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2" s="2" t="s">
        <v>396</v>
      </c>
    </row>
    <row r="583" spans="1:12" x14ac:dyDescent="0.25">
      <c r="A583" s="1" t="s">
        <v>1350</v>
      </c>
      <c r="B583" s="1" t="s">
        <v>1348</v>
      </c>
      <c r="C583" s="1" t="s">
        <v>582</v>
      </c>
      <c r="D583" s="1" t="s">
        <v>1321</v>
      </c>
      <c r="E583" s="1" t="s">
        <v>1323</v>
      </c>
      <c r="F5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583" s="1">
        <v>0</v>
      </c>
      <c r="H583" s="1">
        <v>0</v>
      </c>
      <c r="I583" s="1">
        <f>Tabela1[[#This Row],[Siblings and Spouses]]+Tabela1[[#This Row],[Parents and Children]]</f>
        <v>0</v>
      </c>
      <c r="J583" s="3">
        <v>0</v>
      </c>
      <c r="K5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583" s="2" t="s">
        <v>396</v>
      </c>
    </row>
    <row r="584" spans="1:12" x14ac:dyDescent="0.25">
      <c r="A584" s="1" t="s">
        <v>1350</v>
      </c>
      <c r="B584" s="1" t="s">
        <v>1337</v>
      </c>
      <c r="C584" s="1" t="s">
        <v>583</v>
      </c>
      <c r="D584" s="1" t="s">
        <v>1320</v>
      </c>
      <c r="E584" s="1">
        <v>12</v>
      </c>
      <c r="F5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84" s="1">
        <v>0</v>
      </c>
      <c r="H584" s="1">
        <v>0</v>
      </c>
      <c r="I584" s="1">
        <f>Tabela1[[#This Row],[Siblings and Spouses]]+Tabela1[[#This Row],[Parents and Children]]</f>
        <v>0</v>
      </c>
      <c r="J584" s="3">
        <v>15.75</v>
      </c>
      <c r="K5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4" s="2" t="s">
        <v>396</v>
      </c>
    </row>
    <row r="585" spans="1:12" x14ac:dyDescent="0.25">
      <c r="A585" s="1" t="s">
        <v>1350</v>
      </c>
      <c r="B585" s="1" t="s">
        <v>1337</v>
      </c>
      <c r="C585" s="1" t="s">
        <v>584</v>
      </c>
      <c r="D585" s="1" t="s">
        <v>1320</v>
      </c>
      <c r="E585" s="1">
        <v>40</v>
      </c>
      <c r="F5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85" s="1">
        <v>0</v>
      </c>
      <c r="H585" s="1">
        <v>0</v>
      </c>
      <c r="I585" s="1">
        <f>Tabela1[[#This Row],[Siblings and Spouses]]+Tabela1[[#This Row],[Parents and Children]]</f>
        <v>0</v>
      </c>
      <c r="J585" s="3">
        <v>15.75</v>
      </c>
      <c r="K5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5" s="2" t="s">
        <v>396</v>
      </c>
    </row>
    <row r="586" spans="1:12" x14ac:dyDescent="0.25">
      <c r="A586" s="1" t="s">
        <v>1350</v>
      </c>
      <c r="B586" s="1" t="s">
        <v>1337</v>
      </c>
      <c r="C586" s="1" t="s">
        <v>585</v>
      </c>
      <c r="D586" s="1" t="s">
        <v>1320</v>
      </c>
      <c r="E586" s="1">
        <v>32.5</v>
      </c>
      <c r="F5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86" s="1">
        <v>0</v>
      </c>
      <c r="H586" s="1">
        <v>0</v>
      </c>
      <c r="I586" s="1">
        <f>Tabela1[[#This Row],[Siblings and Spouses]]+Tabela1[[#This Row],[Parents and Children]]</f>
        <v>0</v>
      </c>
      <c r="J586" s="3">
        <v>13</v>
      </c>
      <c r="K5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6" s="2" t="s">
        <v>396</v>
      </c>
    </row>
    <row r="587" spans="1:12" x14ac:dyDescent="0.25">
      <c r="A587" s="1" t="s">
        <v>1350</v>
      </c>
      <c r="B587" s="1" t="s">
        <v>1348</v>
      </c>
      <c r="C587" s="1" t="s">
        <v>586</v>
      </c>
      <c r="D587" s="1" t="s">
        <v>1321</v>
      </c>
      <c r="E587" s="1">
        <v>27</v>
      </c>
      <c r="F5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87" s="1">
        <v>1</v>
      </c>
      <c r="H587" s="1">
        <v>0</v>
      </c>
      <c r="I587" s="1">
        <f>Tabela1[[#This Row],[Siblings and Spouses]]+Tabela1[[#This Row],[Parents and Children]]</f>
        <v>1</v>
      </c>
      <c r="J587" s="3">
        <v>26</v>
      </c>
      <c r="K5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87" s="2" t="s">
        <v>396</v>
      </c>
    </row>
    <row r="588" spans="1:12" x14ac:dyDescent="0.25">
      <c r="A588" s="1" t="s">
        <v>1350</v>
      </c>
      <c r="B588" s="1" t="s">
        <v>1337</v>
      </c>
      <c r="C588" s="1" t="s">
        <v>587</v>
      </c>
      <c r="D588" s="1" t="s">
        <v>1320</v>
      </c>
      <c r="E588" s="1">
        <v>29</v>
      </c>
      <c r="F5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88" s="1">
        <v>1</v>
      </c>
      <c r="H588" s="1">
        <v>0</v>
      </c>
      <c r="I588" s="1">
        <f>Tabela1[[#This Row],[Siblings and Spouses]]+Tabela1[[#This Row],[Parents and Children]]</f>
        <v>1</v>
      </c>
      <c r="J588" s="3">
        <v>26</v>
      </c>
      <c r="K5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88" s="2" t="s">
        <v>396</v>
      </c>
    </row>
    <row r="589" spans="1:12" x14ac:dyDescent="0.25">
      <c r="A589" s="1" t="s">
        <v>1350</v>
      </c>
      <c r="B589" s="1" t="s">
        <v>1337</v>
      </c>
      <c r="C589" s="1" t="s">
        <v>588</v>
      </c>
      <c r="D589" s="1" t="s">
        <v>1321</v>
      </c>
      <c r="E589" s="1">
        <v>2</v>
      </c>
      <c r="F5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89" s="1">
        <v>1</v>
      </c>
      <c r="H589" s="1">
        <v>1</v>
      </c>
      <c r="I589" s="1">
        <f>Tabela1[[#This Row],[Siblings and Spouses]]+Tabela1[[#This Row],[Parents and Children]]</f>
        <v>2</v>
      </c>
      <c r="J589" s="3">
        <v>23</v>
      </c>
      <c r="K5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89" s="2" t="s">
        <v>396</v>
      </c>
    </row>
    <row r="590" spans="1:12" x14ac:dyDescent="0.25">
      <c r="A590" s="1" t="s">
        <v>1350</v>
      </c>
      <c r="B590" s="1" t="s">
        <v>1337</v>
      </c>
      <c r="C590" s="1" t="s">
        <v>589</v>
      </c>
      <c r="D590" s="1" t="s">
        <v>1320</v>
      </c>
      <c r="E590" s="1">
        <v>4</v>
      </c>
      <c r="F5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90" s="1">
        <v>1</v>
      </c>
      <c r="H590" s="1">
        <v>1</v>
      </c>
      <c r="I590" s="1">
        <f>Tabela1[[#This Row],[Siblings and Spouses]]+Tabela1[[#This Row],[Parents and Children]]</f>
        <v>2</v>
      </c>
      <c r="J590" s="3">
        <v>23</v>
      </c>
      <c r="K5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90" s="2" t="s">
        <v>396</v>
      </c>
    </row>
    <row r="591" spans="1:12" x14ac:dyDescent="0.25">
      <c r="A591" s="1" t="s">
        <v>1350</v>
      </c>
      <c r="B591" s="1" t="s">
        <v>1337</v>
      </c>
      <c r="C591" s="1" t="s">
        <v>590</v>
      </c>
      <c r="D591" s="1" t="s">
        <v>1320</v>
      </c>
      <c r="E591" s="1">
        <v>29</v>
      </c>
      <c r="F5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591" s="1">
        <v>0</v>
      </c>
      <c r="H591" s="1">
        <v>2</v>
      </c>
      <c r="I591" s="1">
        <f>Tabela1[[#This Row],[Siblings and Spouses]]+Tabela1[[#This Row],[Parents and Children]]</f>
        <v>2</v>
      </c>
      <c r="J591" s="3">
        <v>23</v>
      </c>
      <c r="K5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91" s="2" t="s">
        <v>396</v>
      </c>
    </row>
    <row r="592" spans="1:12" x14ac:dyDescent="0.25">
      <c r="A592" s="1" t="s">
        <v>1350</v>
      </c>
      <c r="B592" s="1" t="s">
        <v>1337</v>
      </c>
      <c r="C592" s="1" t="s">
        <v>591</v>
      </c>
      <c r="D592" s="1" t="s">
        <v>1320</v>
      </c>
      <c r="E592" s="1">
        <v>0.91669999999999996</v>
      </c>
      <c r="F5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92" s="1">
        <v>1</v>
      </c>
      <c r="H592" s="1">
        <v>2</v>
      </c>
      <c r="I592" s="1">
        <f>Tabela1[[#This Row],[Siblings and Spouses]]+Tabela1[[#This Row],[Parents and Children]]</f>
        <v>3</v>
      </c>
      <c r="J592" s="3">
        <v>27.75</v>
      </c>
      <c r="K5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92" s="2" t="s">
        <v>396</v>
      </c>
    </row>
    <row r="593" spans="1:12" x14ac:dyDescent="0.25">
      <c r="A593" s="1" t="s">
        <v>1350</v>
      </c>
      <c r="B593" s="1" t="s">
        <v>1337</v>
      </c>
      <c r="C593" s="1" t="s">
        <v>592</v>
      </c>
      <c r="D593" s="1" t="s">
        <v>1320</v>
      </c>
      <c r="E593" s="1">
        <v>5</v>
      </c>
      <c r="F5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593" s="1">
        <v>1</v>
      </c>
      <c r="H593" s="1">
        <v>2</v>
      </c>
      <c r="I593" s="1">
        <f>Tabela1[[#This Row],[Siblings and Spouses]]+Tabela1[[#This Row],[Parents and Children]]</f>
        <v>3</v>
      </c>
      <c r="J593" s="3">
        <v>27.75</v>
      </c>
      <c r="K5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93" s="2" t="s">
        <v>396</v>
      </c>
    </row>
    <row r="594" spans="1:12" x14ac:dyDescent="0.25">
      <c r="A594" s="1" t="s">
        <v>1350</v>
      </c>
      <c r="B594" s="1" t="s">
        <v>1348</v>
      </c>
      <c r="C594" s="1" t="s">
        <v>593</v>
      </c>
      <c r="D594" s="1" t="s">
        <v>1321</v>
      </c>
      <c r="E594" s="1">
        <v>36</v>
      </c>
      <c r="F5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94" s="1">
        <v>1</v>
      </c>
      <c r="H594" s="1">
        <v>2</v>
      </c>
      <c r="I594" s="1">
        <f>Tabela1[[#This Row],[Siblings and Spouses]]+Tabela1[[#This Row],[Parents and Children]]</f>
        <v>3</v>
      </c>
      <c r="J594" s="3">
        <v>27.75</v>
      </c>
      <c r="K5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94" s="2" t="s">
        <v>396</v>
      </c>
    </row>
    <row r="595" spans="1:12" x14ac:dyDescent="0.25">
      <c r="A595" s="1" t="s">
        <v>1350</v>
      </c>
      <c r="B595" s="1" t="s">
        <v>1337</v>
      </c>
      <c r="C595" s="1" t="s">
        <v>594</v>
      </c>
      <c r="D595" s="1" t="s">
        <v>1320</v>
      </c>
      <c r="E595" s="1">
        <v>33</v>
      </c>
      <c r="F5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95" s="1">
        <v>1</v>
      </c>
      <c r="H595" s="1">
        <v>2</v>
      </c>
      <c r="I595" s="1">
        <f>Tabela1[[#This Row],[Siblings and Spouses]]+Tabela1[[#This Row],[Parents and Children]]</f>
        <v>3</v>
      </c>
      <c r="J595" s="3">
        <v>27.75</v>
      </c>
      <c r="K5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595" s="2" t="s">
        <v>396</v>
      </c>
    </row>
    <row r="596" spans="1:12" x14ac:dyDescent="0.25">
      <c r="A596" s="1" t="s">
        <v>1350</v>
      </c>
      <c r="B596" s="1" t="s">
        <v>1348</v>
      </c>
      <c r="C596" s="1" t="s">
        <v>595</v>
      </c>
      <c r="D596" s="1" t="s">
        <v>1321</v>
      </c>
      <c r="E596" s="1">
        <v>66</v>
      </c>
      <c r="F5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596" s="1">
        <v>0</v>
      </c>
      <c r="H596" s="1">
        <v>0</v>
      </c>
      <c r="I596" s="1">
        <f>Tabela1[[#This Row],[Siblings and Spouses]]+Tabela1[[#This Row],[Parents and Children]]</f>
        <v>0</v>
      </c>
      <c r="J596" s="3">
        <v>10.5</v>
      </c>
      <c r="K5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96" s="2" t="s">
        <v>396</v>
      </c>
    </row>
    <row r="597" spans="1:12" x14ac:dyDescent="0.25">
      <c r="A597" s="1" t="s">
        <v>1350</v>
      </c>
      <c r="B597" s="1" t="s">
        <v>1348</v>
      </c>
      <c r="C597" s="1" t="s">
        <v>596</v>
      </c>
      <c r="D597" s="1" t="s">
        <v>1321</v>
      </c>
      <c r="E597" s="1" t="s">
        <v>1323</v>
      </c>
      <c r="F5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597" s="1">
        <v>0</v>
      </c>
      <c r="H597" s="1">
        <v>0</v>
      </c>
      <c r="I597" s="1">
        <f>Tabela1[[#This Row],[Siblings and Spouses]]+Tabela1[[#This Row],[Parents and Children]]</f>
        <v>0</v>
      </c>
      <c r="J597" s="3">
        <v>12.875</v>
      </c>
      <c r="K5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97" s="2" t="s">
        <v>396</v>
      </c>
    </row>
    <row r="598" spans="1:12" x14ac:dyDescent="0.25">
      <c r="A598" s="1" t="s">
        <v>1350</v>
      </c>
      <c r="B598" s="1" t="s">
        <v>1337</v>
      </c>
      <c r="C598" s="1" t="s">
        <v>597</v>
      </c>
      <c r="D598" s="1" t="s">
        <v>1321</v>
      </c>
      <c r="E598" s="1">
        <v>31</v>
      </c>
      <c r="F5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598" s="1">
        <v>0</v>
      </c>
      <c r="H598" s="1">
        <v>0</v>
      </c>
      <c r="I598" s="1">
        <f>Tabela1[[#This Row],[Siblings and Spouses]]+Tabela1[[#This Row],[Parents and Children]]</f>
        <v>0</v>
      </c>
      <c r="J598" s="3">
        <v>13</v>
      </c>
      <c r="K5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98" s="2" t="s">
        <v>396</v>
      </c>
    </row>
    <row r="599" spans="1:12" x14ac:dyDescent="0.25">
      <c r="A599" s="1" t="s">
        <v>1350</v>
      </c>
      <c r="B599" s="1" t="s">
        <v>1337</v>
      </c>
      <c r="C599" s="1" t="s">
        <v>598</v>
      </c>
      <c r="D599" s="1" t="s">
        <v>1321</v>
      </c>
      <c r="E599" s="1" t="s">
        <v>1323</v>
      </c>
      <c r="F5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599" s="1">
        <v>0</v>
      </c>
      <c r="H599" s="1">
        <v>0</v>
      </c>
      <c r="I599" s="1">
        <f>Tabela1[[#This Row],[Siblings and Spouses]]+Tabela1[[#This Row],[Parents and Children]]</f>
        <v>0</v>
      </c>
      <c r="J599" s="3">
        <v>13</v>
      </c>
      <c r="K5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599" s="2" t="s">
        <v>396</v>
      </c>
    </row>
    <row r="600" spans="1:12" x14ac:dyDescent="0.25">
      <c r="A600" s="1" t="s">
        <v>1350</v>
      </c>
      <c r="B600" s="1" t="s">
        <v>1337</v>
      </c>
      <c r="C600" s="1" t="s">
        <v>599</v>
      </c>
      <c r="D600" s="1" t="s">
        <v>1320</v>
      </c>
      <c r="E600" s="1">
        <v>26</v>
      </c>
      <c r="F6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00" s="1">
        <v>0</v>
      </c>
      <c r="H600" s="1">
        <v>0</v>
      </c>
      <c r="I600" s="1">
        <f>Tabela1[[#This Row],[Siblings and Spouses]]+Tabela1[[#This Row],[Parents and Children]]</f>
        <v>0</v>
      </c>
      <c r="J600" s="3">
        <v>13.5</v>
      </c>
      <c r="K6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00" s="2" t="s">
        <v>396</v>
      </c>
    </row>
    <row r="601" spans="1:12" x14ac:dyDescent="0.25">
      <c r="A601" s="1" t="s">
        <v>1350</v>
      </c>
      <c r="B601" s="1" t="s">
        <v>1348</v>
      </c>
      <c r="C601" s="1" t="s">
        <v>600</v>
      </c>
      <c r="D601" s="1" t="s">
        <v>1320</v>
      </c>
      <c r="E601" s="1">
        <v>24</v>
      </c>
      <c r="F6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01" s="1">
        <v>0</v>
      </c>
      <c r="H601" s="1">
        <v>0</v>
      </c>
      <c r="I601" s="1">
        <f>Tabela1[[#This Row],[Siblings and Spouses]]+Tabela1[[#This Row],[Parents and Children]]</f>
        <v>0</v>
      </c>
      <c r="J601" s="3">
        <v>13</v>
      </c>
      <c r="K6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01" s="2" t="s">
        <v>396</v>
      </c>
    </row>
    <row r="602" spans="1:12" x14ac:dyDescent="0.25">
      <c r="A602" s="1" t="s">
        <v>1351</v>
      </c>
      <c r="B602" s="1" t="s">
        <v>1348</v>
      </c>
      <c r="C602" s="1" t="s">
        <v>601</v>
      </c>
      <c r="D602" s="1" t="s">
        <v>1321</v>
      </c>
      <c r="E602" s="1">
        <v>42</v>
      </c>
      <c r="F6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602" s="1">
        <v>0</v>
      </c>
      <c r="H602" s="1">
        <v>0</v>
      </c>
      <c r="I602" s="1">
        <f>Tabela1[[#This Row],[Siblings and Spouses]]+Tabela1[[#This Row],[Parents and Children]]</f>
        <v>0</v>
      </c>
      <c r="J602" s="3">
        <v>7.55</v>
      </c>
      <c r="K6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02" s="2" t="s">
        <v>396</v>
      </c>
    </row>
    <row r="603" spans="1:12" x14ac:dyDescent="0.25">
      <c r="A603" s="1" t="s">
        <v>1351</v>
      </c>
      <c r="B603" s="1" t="s">
        <v>1348</v>
      </c>
      <c r="C603" s="1" t="s">
        <v>602</v>
      </c>
      <c r="D603" s="1" t="s">
        <v>1321</v>
      </c>
      <c r="E603" s="1">
        <v>13</v>
      </c>
      <c r="F6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03" s="1">
        <v>0</v>
      </c>
      <c r="H603" s="1">
        <v>2</v>
      </c>
      <c r="I603" s="1">
        <f>Tabela1[[#This Row],[Siblings and Spouses]]+Tabela1[[#This Row],[Parents and Children]]</f>
        <v>2</v>
      </c>
      <c r="J603" s="3">
        <v>20.25</v>
      </c>
      <c r="K6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03" s="2" t="s">
        <v>396</v>
      </c>
    </row>
    <row r="604" spans="1:12" x14ac:dyDescent="0.25">
      <c r="A604" s="1" t="s">
        <v>1351</v>
      </c>
      <c r="B604" s="1" t="s">
        <v>1348</v>
      </c>
      <c r="C604" s="1" t="s">
        <v>603</v>
      </c>
      <c r="D604" s="1" t="s">
        <v>1321</v>
      </c>
      <c r="E604" s="1">
        <v>16</v>
      </c>
      <c r="F6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04" s="1">
        <v>1</v>
      </c>
      <c r="H604" s="1">
        <v>1</v>
      </c>
      <c r="I604" s="1">
        <f>Tabela1[[#This Row],[Siblings and Spouses]]+Tabela1[[#This Row],[Parents and Children]]</f>
        <v>2</v>
      </c>
      <c r="J604" s="3">
        <v>20.25</v>
      </c>
      <c r="K6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04" s="2" t="s">
        <v>396</v>
      </c>
    </row>
    <row r="605" spans="1:12" x14ac:dyDescent="0.25">
      <c r="A605" s="1" t="s">
        <v>1351</v>
      </c>
      <c r="B605" s="1" t="s">
        <v>1337</v>
      </c>
      <c r="C605" s="1" t="s">
        <v>604</v>
      </c>
      <c r="D605" s="1" t="s">
        <v>1320</v>
      </c>
      <c r="E605" s="1">
        <v>35</v>
      </c>
      <c r="F6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05" s="1">
        <v>1</v>
      </c>
      <c r="H605" s="1">
        <v>1</v>
      </c>
      <c r="I605" s="1">
        <f>Tabela1[[#This Row],[Siblings and Spouses]]+Tabela1[[#This Row],[Parents and Children]]</f>
        <v>2</v>
      </c>
      <c r="J605" s="3">
        <v>20.25</v>
      </c>
      <c r="K6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05" s="2" t="s">
        <v>396</v>
      </c>
    </row>
    <row r="606" spans="1:12" x14ac:dyDescent="0.25">
      <c r="A606" s="1" t="s">
        <v>1351</v>
      </c>
      <c r="B606" s="1" t="s">
        <v>1337</v>
      </c>
      <c r="C606" s="1" t="s">
        <v>605</v>
      </c>
      <c r="D606" s="1" t="s">
        <v>1320</v>
      </c>
      <c r="E606" s="1">
        <v>16</v>
      </c>
      <c r="F6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06" s="1">
        <v>0</v>
      </c>
      <c r="H606" s="1">
        <v>0</v>
      </c>
      <c r="I606" s="1">
        <f>Tabela1[[#This Row],[Siblings and Spouses]]+Tabela1[[#This Row],[Parents and Children]]</f>
        <v>0</v>
      </c>
      <c r="J606" s="3">
        <v>7.65</v>
      </c>
      <c r="K6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06" s="2" t="s">
        <v>396</v>
      </c>
    </row>
    <row r="607" spans="1:12" x14ac:dyDescent="0.25">
      <c r="A607" s="1" t="s">
        <v>1351</v>
      </c>
      <c r="B607" s="1" t="s">
        <v>1337</v>
      </c>
      <c r="C607" s="1" t="s">
        <v>606</v>
      </c>
      <c r="D607" s="1" t="s">
        <v>1321</v>
      </c>
      <c r="E607" s="1">
        <v>25</v>
      </c>
      <c r="F6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07" s="1">
        <v>0</v>
      </c>
      <c r="H607" s="1">
        <v>0</v>
      </c>
      <c r="I607" s="1">
        <f>Tabela1[[#This Row],[Siblings and Spouses]]+Tabela1[[#This Row],[Parents and Children]]</f>
        <v>0</v>
      </c>
      <c r="J607" s="3">
        <v>7.65</v>
      </c>
      <c r="K6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07" s="2" t="s">
        <v>396</v>
      </c>
    </row>
    <row r="608" spans="1:12" x14ac:dyDescent="0.25">
      <c r="A608" s="1" t="s">
        <v>1351</v>
      </c>
      <c r="B608" s="1" t="s">
        <v>1337</v>
      </c>
      <c r="C608" s="1" t="s">
        <v>607</v>
      </c>
      <c r="D608" s="1" t="s">
        <v>1321</v>
      </c>
      <c r="E608" s="1">
        <v>20</v>
      </c>
      <c r="F6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08" s="1">
        <v>0</v>
      </c>
      <c r="H608" s="1">
        <v>0</v>
      </c>
      <c r="I608" s="1">
        <f>Tabela1[[#This Row],[Siblings and Spouses]]+Tabela1[[#This Row],[Parents and Children]]</f>
        <v>0</v>
      </c>
      <c r="J608" s="3">
        <v>7.9249999999999998</v>
      </c>
      <c r="K6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08" s="2" t="s">
        <v>396</v>
      </c>
    </row>
    <row r="609" spans="1:12" x14ac:dyDescent="0.25">
      <c r="A609" s="1" t="s">
        <v>1351</v>
      </c>
      <c r="B609" s="1" t="s">
        <v>1337</v>
      </c>
      <c r="C609" s="1" t="s">
        <v>608</v>
      </c>
      <c r="D609" s="1" t="s">
        <v>1320</v>
      </c>
      <c r="E609" s="1">
        <v>18</v>
      </c>
      <c r="F6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09" s="1">
        <v>0</v>
      </c>
      <c r="H609" s="1">
        <v>0</v>
      </c>
      <c r="I609" s="1">
        <f>Tabela1[[#This Row],[Siblings and Spouses]]+Tabela1[[#This Row],[Parents and Children]]</f>
        <v>0</v>
      </c>
      <c r="J609" s="3">
        <v>7.2291999999999996</v>
      </c>
      <c r="K6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09" s="2" t="s">
        <v>1318</v>
      </c>
    </row>
    <row r="610" spans="1:12" x14ac:dyDescent="0.25">
      <c r="A610" s="1" t="s">
        <v>1351</v>
      </c>
      <c r="B610" s="1" t="s">
        <v>1348</v>
      </c>
      <c r="C610" s="1" t="s">
        <v>609</v>
      </c>
      <c r="D610" s="1" t="s">
        <v>1321</v>
      </c>
      <c r="E610" s="1">
        <v>30</v>
      </c>
      <c r="F6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0" s="1">
        <v>0</v>
      </c>
      <c r="H610" s="1">
        <v>0</v>
      </c>
      <c r="I610" s="1">
        <f>Tabela1[[#This Row],[Siblings and Spouses]]+Tabela1[[#This Row],[Parents and Children]]</f>
        <v>0</v>
      </c>
      <c r="J610" s="3">
        <v>7.25</v>
      </c>
      <c r="K6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0" s="2" t="s">
        <v>396</v>
      </c>
    </row>
    <row r="611" spans="1:12" x14ac:dyDescent="0.25">
      <c r="A611" s="1" t="s">
        <v>1351</v>
      </c>
      <c r="B611" s="1" t="s">
        <v>1348</v>
      </c>
      <c r="C611" s="1" t="s">
        <v>610</v>
      </c>
      <c r="D611" s="1" t="s">
        <v>1321</v>
      </c>
      <c r="E611" s="1">
        <v>26</v>
      </c>
      <c r="F6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1" s="1">
        <v>0</v>
      </c>
      <c r="H611" s="1">
        <v>0</v>
      </c>
      <c r="I611" s="1">
        <f>Tabela1[[#This Row],[Siblings and Spouses]]+Tabela1[[#This Row],[Parents and Children]]</f>
        <v>0</v>
      </c>
      <c r="J611" s="3">
        <v>8.0500000000000007</v>
      </c>
      <c r="K6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1" s="2" t="s">
        <v>396</v>
      </c>
    </row>
    <row r="612" spans="1:12" x14ac:dyDescent="0.25">
      <c r="A612" s="1" t="s">
        <v>1351</v>
      </c>
      <c r="B612" s="1" t="s">
        <v>1348</v>
      </c>
      <c r="C612" s="1" t="s">
        <v>611</v>
      </c>
      <c r="D612" s="1" t="s">
        <v>1320</v>
      </c>
      <c r="E612" s="1">
        <v>40</v>
      </c>
      <c r="F6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12" s="1">
        <v>1</v>
      </c>
      <c r="H612" s="1">
        <v>0</v>
      </c>
      <c r="I612" s="1">
        <f>Tabela1[[#This Row],[Siblings and Spouses]]+Tabela1[[#This Row],[Parents and Children]]</f>
        <v>1</v>
      </c>
      <c r="J612" s="3">
        <v>9.4749999999999996</v>
      </c>
      <c r="K6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2" s="2" t="s">
        <v>396</v>
      </c>
    </row>
    <row r="613" spans="1:12" x14ac:dyDescent="0.25">
      <c r="A613" s="1" t="s">
        <v>1351</v>
      </c>
      <c r="B613" s="1" t="s">
        <v>1337</v>
      </c>
      <c r="C613" s="1" t="s">
        <v>612</v>
      </c>
      <c r="D613" s="1" t="s">
        <v>1321</v>
      </c>
      <c r="E613" s="1">
        <v>0.83330000000000004</v>
      </c>
      <c r="F6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13" s="1">
        <v>0</v>
      </c>
      <c r="H613" s="1">
        <v>1</v>
      </c>
      <c r="I613" s="1">
        <f>Tabela1[[#This Row],[Siblings and Spouses]]+Tabela1[[#This Row],[Parents and Children]]</f>
        <v>1</v>
      </c>
      <c r="J613" s="3">
        <v>9.35</v>
      </c>
      <c r="K6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3" s="2" t="s">
        <v>396</v>
      </c>
    </row>
    <row r="614" spans="1:12" x14ac:dyDescent="0.25">
      <c r="A614" s="1" t="s">
        <v>1351</v>
      </c>
      <c r="B614" s="1" t="s">
        <v>1337</v>
      </c>
      <c r="C614" s="1" t="s">
        <v>613</v>
      </c>
      <c r="D614" s="1" t="s">
        <v>1320</v>
      </c>
      <c r="E614" s="1">
        <v>18</v>
      </c>
      <c r="F6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14" s="1">
        <v>0</v>
      </c>
      <c r="H614" s="1">
        <v>1</v>
      </c>
      <c r="I614" s="1">
        <f>Tabela1[[#This Row],[Siblings and Spouses]]+Tabela1[[#This Row],[Parents and Children]]</f>
        <v>1</v>
      </c>
      <c r="J614" s="3">
        <v>9.35</v>
      </c>
      <c r="K6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4" s="2" t="s">
        <v>396</v>
      </c>
    </row>
    <row r="615" spans="1:12" x14ac:dyDescent="0.25">
      <c r="A615" s="1" t="s">
        <v>1351</v>
      </c>
      <c r="B615" s="1" t="s">
        <v>1337</v>
      </c>
      <c r="C615" s="1" t="s">
        <v>614</v>
      </c>
      <c r="D615" s="1" t="s">
        <v>1321</v>
      </c>
      <c r="E615" s="1">
        <v>26</v>
      </c>
      <c r="F6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5" s="1">
        <v>0</v>
      </c>
      <c r="H615" s="1">
        <v>0</v>
      </c>
      <c r="I615" s="1">
        <f>Tabela1[[#This Row],[Siblings and Spouses]]+Tabela1[[#This Row],[Parents and Children]]</f>
        <v>0</v>
      </c>
      <c r="J615" s="3">
        <v>18.787500000000001</v>
      </c>
      <c r="K6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15" s="2" t="s">
        <v>1318</v>
      </c>
    </row>
    <row r="616" spans="1:12" x14ac:dyDescent="0.25">
      <c r="A616" s="1" t="s">
        <v>1351</v>
      </c>
      <c r="B616" s="1" t="s">
        <v>1348</v>
      </c>
      <c r="C616" s="1" t="s">
        <v>615</v>
      </c>
      <c r="D616" s="1" t="s">
        <v>1321</v>
      </c>
      <c r="E616" s="1">
        <v>26</v>
      </c>
      <c r="F6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6" s="1">
        <v>0</v>
      </c>
      <c r="H616" s="1">
        <v>0</v>
      </c>
      <c r="I616" s="1">
        <f>Tabela1[[#This Row],[Siblings and Spouses]]+Tabela1[[#This Row],[Parents and Children]]</f>
        <v>0</v>
      </c>
      <c r="J616" s="3">
        <v>7.8875000000000002</v>
      </c>
      <c r="K6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6" s="2" t="s">
        <v>396</v>
      </c>
    </row>
    <row r="617" spans="1:12" x14ac:dyDescent="0.25">
      <c r="A617" s="1" t="s">
        <v>1351</v>
      </c>
      <c r="B617" s="1" t="s">
        <v>1348</v>
      </c>
      <c r="C617" s="1" t="s">
        <v>616</v>
      </c>
      <c r="D617" s="1" t="s">
        <v>1321</v>
      </c>
      <c r="E617" s="1">
        <v>20</v>
      </c>
      <c r="F6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7" s="1">
        <v>0</v>
      </c>
      <c r="H617" s="1">
        <v>0</v>
      </c>
      <c r="I617" s="1">
        <f>Tabela1[[#This Row],[Siblings and Spouses]]+Tabela1[[#This Row],[Parents and Children]]</f>
        <v>0</v>
      </c>
      <c r="J617" s="3">
        <v>7.9249999999999998</v>
      </c>
      <c r="K6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7" s="2" t="s">
        <v>396</v>
      </c>
    </row>
    <row r="618" spans="1:12" x14ac:dyDescent="0.25">
      <c r="A618" s="1" t="s">
        <v>1351</v>
      </c>
      <c r="B618" s="1" t="s">
        <v>1348</v>
      </c>
      <c r="C618" s="1" t="s">
        <v>617</v>
      </c>
      <c r="D618" s="1" t="s">
        <v>1321</v>
      </c>
      <c r="E618" s="1">
        <v>24</v>
      </c>
      <c r="F6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8" s="1">
        <v>0</v>
      </c>
      <c r="H618" s="1">
        <v>0</v>
      </c>
      <c r="I618" s="1">
        <f>Tabela1[[#This Row],[Siblings and Spouses]]+Tabela1[[#This Row],[Parents and Children]]</f>
        <v>0</v>
      </c>
      <c r="J618" s="3">
        <v>7.05</v>
      </c>
      <c r="K6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8" s="2" t="s">
        <v>396</v>
      </c>
    </row>
    <row r="619" spans="1:12" x14ac:dyDescent="0.25">
      <c r="A619" s="1" t="s">
        <v>1351</v>
      </c>
      <c r="B619" s="1" t="s">
        <v>1348</v>
      </c>
      <c r="C619" s="1" t="s">
        <v>618</v>
      </c>
      <c r="D619" s="1" t="s">
        <v>1321</v>
      </c>
      <c r="E619" s="1">
        <v>25</v>
      </c>
      <c r="F6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19" s="1">
        <v>0</v>
      </c>
      <c r="H619" s="1">
        <v>0</v>
      </c>
      <c r="I619" s="1">
        <f>Tabela1[[#This Row],[Siblings and Spouses]]+Tabela1[[#This Row],[Parents and Children]]</f>
        <v>0</v>
      </c>
      <c r="J619" s="3">
        <v>7.05</v>
      </c>
      <c r="K6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19" s="2" t="s">
        <v>396</v>
      </c>
    </row>
    <row r="620" spans="1:12" x14ac:dyDescent="0.25">
      <c r="A620" s="1" t="s">
        <v>1351</v>
      </c>
      <c r="B620" s="1" t="s">
        <v>1348</v>
      </c>
      <c r="C620" s="1" t="s">
        <v>619</v>
      </c>
      <c r="D620" s="1" t="s">
        <v>1321</v>
      </c>
      <c r="E620" s="1">
        <v>35</v>
      </c>
      <c r="F6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20" s="1">
        <v>0</v>
      </c>
      <c r="H620" s="1">
        <v>0</v>
      </c>
      <c r="I620" s="1">
        <f>Tabela1[[#This Row],[Siblings and Spouses]]+Tabela1[[#This Row],[Parents and Children]]</f>
        <v>0</v>
      </c>
      <c r="J620" s="3">
        <v>8.0500000000000007</v>
      </c>
      <c r="K6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20" s="2" t="s">
        <v>396</v>
      </c>
    </row>
    <row r="621" spans="1:12" x14ac:dyDescent="0.25">
      <c r="A621" s="1" t="s">
        <v>1351</v>
      </c>
      <c r="B621" s="1" t="s">
        <v>1348</v>
      </c>
      <c r="C621" s="1" t="s">
        <v>620</v>
      </c>
      <c r="D621" s="1" t="s">
        <v>1321</v>
      </c>
      <c r="E621" s="1">
        <v>18</v>
      </c>
      <c r="F6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21" s="1">
        <v>0</v>
      </c>
      <c r="H621" s="1">
        <v>0</v>
      </c>
      <c r="I621" s="1">
        <f>Tabela1[[#This Row],[Siblings and Spouses]]+Tabela1[[#This Row],[Parents and Children]]</f>
        <v>0</v>
      </c>
      <c r="J621" s="3">
        <v>8.3000000000000007</v>
      </c>
      <c r="K6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21" s="2" t="s">
        <v>396</v>
      </c>
    </row>
    <row r="622" spans="1:12" x14ac:dyDescent="0.25">
      <c r="A622" s="1" t="s">
        <v>1351</v>
      </c>
      <c r="B622" s="1" t="s">
        <v>1348</v>
      </c>
      <c r="C622" s="1" t="s">
        <v>621</v>
      </c>
      <c r="D622" s="1" t="s">
        <v>1321</v>
      </c>
      <c r="E622" s="1">
        <v>32</v>
      </c>
      <c r="F6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22" s="1">
        <v>0</v>
      </c>
      <c r="H622" s="1">
        <v>0</v>
      </c>
      <c r="I622" s="1">
        <f>Tabela1[[#This Row],[Siblings and Spouses]]+Tabela1[[#This Row],[Parents and Children]]</f>
        <v>0</v>
      </c>
      <c r="J622" s="3">
        <v>22.524999999999999</v>
      </c>
      <c r="K6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22" s="2" t="s">
        <v>396</v>
      </c>
    </row>
    <row r="623" spans="1:12" x14ac:dyDescent="0.25">
      <c r="A623" s="1" t="s">
        <v>1351</v>
      </c>
      <c r="B623" s="1" t="s">
        <v>1337</v>
      </c>
      <c r="C623" s="1" t="s">
        <v>622</v>
      </c>
      <c r="D623" s="1" t="s">
        <v>1320</v>
      </c>
      <c r="E623" s="1">
        <v>19</v>
      </c>
      <c r="F6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23" s="1">
        <v>1</v>
      </c>
      <c r="H623" s="1">
        <v>0</v>
      </c>
      <c r="I623" s="1">
        <f>Tabela1[[#This Row],[Siblings and Spouses]]+Tabela1[[#This Row],[Parents and Children]]</f>
        <v>1</v>
      </c>
      <c r="J623" s="3">
        <v>7.8541999999999996</v>
      </c>
      <c r="K6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23" s="2" t="s">
        <v>396</v>
      </c>
    </row>
    <row r="624" spans="1:12" x14ac:dyDescent="0.25">
      <c r="A624" s="1" t="s">
        <v>1351</v>
      </c>
      <c r="B624" s="1" t="s">
        <v>1348</v>
      </c>
      <c r="C624" s="1" t="s">
        <v>623</v>
      </c>
      <c r="D624" s="1" t="s">
        <v>1321</v>
      </c>
      <c r="E624" s="1">
        <v>4</v>
      </c>
      <c r="F6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24" s="1">
        <v>4</v>
      </c>
      <c r="H624" s="1">
        <v>2</v>
      </c>
      <c r="I624" s="1">
        <f>Tabela1[[#This Row],[Siblings and Spouses]]+Tabela1[[#This Row],[Parents and Children]]</f>
        <v>6</v>
      </c>
      <c r="J624" s="3">
        <v>31.274999999999999</v>
      </c>
      <c r="K6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24" s="2" t="s">
        <v>396</v>
      </c>
    </row>
    <row r="625" spans="1:12" x14ac:dyDescent="0.25">
      <c r="A625" s="1" t="s">
        <v>1351</v>
      </c>
      <c r="B625" s="1" t="s">
        <v>1348</v>
      </c>
      <c r="C625" s="1" t="s">
        <v>624</v>
      </c>
      <c r="D625" s="1" t="s">
        <v>1320</v>
      </c>
      <c r="E625" s="1">
        <v>6</v>
      </c>
      <c r="F6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25" s="1">
        <v>4</v>
      </c>
      <c r="H625" s="1">
        <v>2</v>
      </c>
      <c r="I625" s="1">
        <f>Tabela1[[#This Row],[Siblings and Spouses]]+Tabela1[[#This Row],[Parents and Children]]</f>
        <v>6</v>
      </c>
      <c r="J625" s="3">
        <v>31.274999999999999</v>
      </c>
      <c r="K6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25" s="2" t="s">
        <v>396</v>
      </c>
    </row>
    <row r="626" spans="1:12" x14ac:dyDescent="0.25">
      <c r="A626" s="1" t="s">
        <v>1351</v>
      </c>
      <c r="B626" s="1" t="s">
        <v>1348</v>
      </c>
      <c r="C626" s="1" t="s">
        <v>625</v>
      </c>
      <c r="D626" s="1" t="s">
        <v>1320</v>
      </c>
      <c r="E626" s="1">
        <v>2</v>
      </c>
      <c r="F6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26" s="1">
        <v>4</v>
      </c>
      <c r="H626" s="1">
        <v>2</v>
      </c>
      <c r="I626" s="1">
        <f>Tabela1[[#This Row],[Siblings and Spouses]]+Tabela1[[#This Row],[Parents and Children]]</f>
        <v>6</v>
      </c>
      <c r="J626" s="3">
        <v>31.274999999999999</v>
      </c>
      <c r="K6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26" s="2" t="s">
        <v>396</v>
      </c>
    </row>
    <row r="627" spans="1:12" x14ac:dyDescent="0.25">
      <c r="A627" s="1" t="s">
        <v>1351</v>
      </c>
      <c r="B627" s="1" t="s">
        <v>1337</v>
      </c>
      <c r="C627" s="1" t="s">
        <v>626</v>
      </c>
      <c r="D627" s="1" t="s">
        <v>1320</v>
      </c>
      <c r="E627" s="1">
        <v>17</v>
      </c>
      <c r="F6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27" s="1">
        <v>4</v>
      </c>
      <c r="H627" s="1">
        <v>2</v>
      </c>
      <c r="I627" s="1">
        <f>Tabela1[[#This Row],[Siblings and Spouses]]+Tabela1[[#This Row],[Parents and Children]]</f>
        <v>6</v>
      </c>
      <c r="J627" s="3">
        <v>7.9249999999999998</v>
      </c>
      <c r="K6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27" s="2" t="s">
        <v>396</v>
      </c>
    </row>
    <row r="628" spans="1:12" x14ac:dyDescent="0.25">
      <c r="A628" s="1" t="s">
        <v>1351</v>
      </c>
      <c r="B628" s="1" t="s">
        <v>1348</v>
      </c>
      <c r="C628" s="1" t="s">
        <v>627</v>
      </c>
      <c r="D628" s="1" t="s">
        <v>1320</v>
      </c>
      <c r="E628" s="1">
        <v>38</v>
      </c>
      <c r="F6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28" s="1">
        <v>4</v>
      </c>
      <c r="H628" s="1">
        <v>2</v>
      </c>
      <c r="I628" s="1">
        <f>Tabela1[[#This Row],[Siblings and Spouses]]+Tabela1[[#This Row],[Parents and Children]]</f>
        <v>6</v>
      </c>
      <c r="J628" s="3">
        <v>7.7750000000000004</v>
      </c>
      <c r="K6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28" s="2" t="s">
        <v>396</v>
      </c>
    </row>
    <row r="629" spans="1:12" x14ac:dyDescent="0.25">
      <c r="A629" s="1" t="s">
        <v>1351</v>
      </c>
      <c r="B629" s="1" t="s">
        <v>1348</v>
      </c>
      <c r="C629" s="1" t="s">
        <v>628</v>
      </c>
      <c r="D629" s="1" t="s">
        <v>1320</v>
      </c>
      <c r="E629" s="1">
        <v>9</v>
      </c>
      <c r="F6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29" s="1">
        <v>4</v>
      </c>
      <c r="H629" s="1">
        <v>2</v>
      </c>
      <c r="I629" s="1">
        <f>Tabela1[[#This Row],[Siblings and Spouses]]+Tabela1[[#This Row],[Parents and Children]]</f>
        <v>6</v>
      </c>
      <c r="J629" s="3">
        <v>31.274999999999999</v>
      </c>
      <c r="K6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29" s="2" t="s">
        <v>396</v>
      </c>
    </row>
    <row r="630" spans="1:12" x14ac:dyDescent="0.25">
      <c r="A630" s="1" t="s">
        <v>1351</v>
      </c>
      <c r="B630" s="1" t="s">
        <v>1348</v>
      </c>
      <c r="C630" s="1" t="s">
        <v>629</v>
      </c>
      <c r="D630" s="1" t="s">
        <v>1320</v>
      </c>
      <c r="E630" s="1">
        <v>11</v>
      </c>
      <c r="F6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30" s="1">
        <v>4</v>
      </c>
      <c r="H630" s="1">
        <v>2</v>
      </c>
      <c r="I630" s="1">
        <f>Tabela1[[#This Row],[Siblings and Spouses]]+Tabela1[[#This Row],[Parents and Children]]</f>
        <v>6</v>
      </c>
      <c r="J630" s="3">
        <v>31.274999999999999</v>
      </c>
      <c r="K6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30" s="2" t="s">
        <v>396</v>
      </c>
    </row>
    <row r="631" spans="1:12" x14ac:dyDescent="0.25">
      <c r="A631" s="1" t="s">
        <v>1351</v>
      </c>
      <c r="B631" s="1" t="s">
        <v>1348</v>
      </c>
      <c r="C631" s="1" t="s">
        <v>630</v>
      </c>
      <c r="D631" s="1" t="s">
        <v>1321</v>
      </c>
      <c r="E631" s="1">
        <v>39</v>
      </c>
      <c r="F6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31" s="1">
        <v>1</v>
      </c>
      <c r="H631" s="1">
        <v>5</v>
      </c>
      <c r="I631" s="1">
        <f>Tabela1[[#This Row],[Siblings and Spouses]]+Tabela1[[#This Row],[Parents and Children]]</f>
        <v>6</v>
      </c>
      <c r="J631" s="3">
        <v>31.274999999999999</v>
      </c>
      <c r="K6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31" s="2" t="s">
        <v>396</v>
      </c>
    </row>
    <row r="632" spans="1:12" x14ac:dyDescent="0.25">
      <c r="A632" s="1" t="s">
        <v>1351</v>
      </c>
      <c r="B632" s="1" t="s">
        <v>1337</v>
      </c>
      <c r="C632" s="1" t="s">
        <v>631</v>
      </c>
      <c r="D632" s="1" t="s">
        <v>1321</v>
      </c>
      <c r="E632" s="1">
        <v>27</v>
      </c>
      <c r="F6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32" s="1">
        <v>0</v>
      </c>
      <c r="H632" s="1">
        <v>0</v>
      </c>
      <c r="I632" s="1">
        <f>Tabela1[[#This Row],[Siblings and Spouses]]+Tabela1[[#This Row],[Parents and Children]]</f>
        <v>0</v>
      </c>
      <c r="J632" s="3">
        <v>7.7957999999999998</v>
      </c>
      <c r="K6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32" s="2" t="s">
        <v>396</v>
      </c>
    </row>
    <row r="633" spans="1:12" x14ac:dyDescent="0.25">
      <c r="A633" s="1" t="s">
        <v>1351</v>
      </c>
      <c r="B633" s="1" t="s">
        <v>1348</v>
      </c>
      <c r="C633" s="1" t="s">
        <v>632</v>
      </c>
      <c r="D633" s="1" t="s">
        <v>1321</v>
      </c>
      <c r="E633" s="1">
        <v>26</v>
      </c>
      <c r="F6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33" s="1">
        <v>0</v>
      </c>
      <c r="H633" s="1">
        <v>0</v>
      </c>
      <c r="I633" s="1">
        <f>Tabela1[[#This Row],[Siblings and Spouses]]+Tabela1[[#This Row],[Parents and Children]]</f>
        <v>0</v>
      </c>
      <c r="J633" s="3">
        <v>7.7750000000000004</v>
      </c>
      <c r="K6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33" s="2" t="s">
        <v>396</v>
      </c>
    </row>
    <row r="634" spans="1:12" x14ac:dyDescent="0.25">
      <c r="A634" s="1" t="s">
        <v>1351</v>
      </c>
      <c r="B634" s="1" t="s">
        <v>1348</v>
      </c>
      <c r="C634" s="1" t="s">
        <v>633</v>
      </c>
      <c r="D634" s="1" t="s">
        <v>1320</v>
      </c>
      <c r="E634" s="1">
        <v>39</v>
      </c>
      <c r="F6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34" s="1">
        <v>1</v>
      </c>
      <c r="H634" s="1">
        <v>5</v>
      </c>
      <c r="I634" s="1">
        <f>Tabela1[[#This Row],[Siblings and Spouses]]+Tabela1[[#This Row],[Parents and Children]]</f>
        <v>6</v>
      </c>
      <c r="J634" s="3">
        <v>31.274999999999999</v>
      </c>
      <c r="K6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34" s="2" t="s">
        <v>396</v>
      </c>
    </row>
    <row r="635" spans="1:12" x14ac:dyDescent="0.25">
      <c r="A635" s="1" t="s">
        <v>1351</v>
      </c>
      <c r="B635" s="1" t="s">
        <v>1348</v>
      </c>
      <c r="C635" s="1" t="s">
        <v>634</v>
      </c>
      <c r="D635" s="1" t="s">
        <v>1321</v>
      </c>
      <c r="E635" s="1">
        <v>20</v>
      </c>
      <c r="F6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35" s="1">
        <v>0</v>
      </c>
      <c r="H635" s="1">
        <v>0</v>
      </c>
      <c r="I635" s="1">
        <f>Tabela1[[#This Row],[Siblings and Spouses]]+Tabela1[[#This Row],[Parents and Children]]</f>
        <v>0</v>
      </c>
      <c r="J635" s="3">
        <v>7.8541999999999996</v>
      </c>
      <c r="K6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35" s="2" t="s">
        <v>396</v>
      </c>
    </row>
    <row r="636" spans="1:12" x14ac:dyDescent="0.25">
      <c r="A636" s="1" t="s">
        <v>1351</v>
      </c>
      <c r="B636" s="1" t="s">
        <v>1348</v>
      </c>
      <c r="C636" s="1" t="s">
        <v>635</v>
      </c>
      <c r="D636" s="1" t="s">
        <v>1321</v>
      </c>
      <c r="E636" s="1">
        <v>26</v>
      </c>
      <c r="F6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36" s="1">
        <v>0</v>
      </c>
      <c r="H636" s="1">
        <v>0</v>
      </c>
      <c r="I636" s="1">
        <f>Tabela1[[#This Row],[Siblings and Spouses]]+Tabela1[[#This Row],[Parents and Children]]</f>
        <v>0</v>
      </c>
      <c r="J636" s="3">
        <v>7.8958000000000004</v>
      </c>
      <c r="K6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36" s="2" t="s">
        <v>396</v>
      </c>
    </row>
    <row r="637" spans="1:12" x14ac:dyDescent="0.25">
      <c r="A637" s="1" t="s">
        <v>1351</v>
      </c>
      <c r="B637" s="1" t="s">
        <v>1348</v>
      </c>
      <c r="C637" s="1" t="s">
        <v>636</v>
      </c>
      <c r="D637" s="1" t="s">
        <v>1321</v>
      </c>
      <c r="E637" s="1">
        <v>25</v>
      </c>
      <c r="F6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37" s="1">
        <v>1</v>
      </c>
      <c r="H637" s="1">
        <v>0</v>
      </c>
      <c r="I637" s="1">
        <f>Tabela1[[#This Row],[Siblings and Spouses]]+Tabela1[[#This Row],[Parents and Children]]</f>
        <v>1</v>
      </c>
      <c r="J637" s="3">
        <v>17.8</v>
      </c>
      <c r="K6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37" s="2" t="s">
        <v>396</v>
      </c>
    </row>
    <row r="638" spans="1:12" x14ac:dyDescent="0.25">
      <c r="A638" s="1" t="s">
        <v>1351</v>
      </c>
      <c r="B638" s="1" t="s">
        <v>1348</v>
      </c>
      <c r="C638" s="1" t="s">
        <v>637</v>
      </c>
      <c r="D638" s="1" t="s">
        <v>1320</v>
      </c>
      <c r="E638" s="1">
        <v>18</v>
      </c>
      <c r="F6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38" s="1">
        <v>1</v>
      </c>
      <c r="H638" s="1">
        <v>0</v>
      </c>
      <c r="I638" s="1">
        <f>Tabela1[[#This Row],[Siblings and Spouses]]+Tabela1[[#This Row],[Parents and Children]]</f>
        <v>1</v>
      </c>
      <c r="J638" s="3">
        <v>17.8</v>
      </c>
      <c r="K6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38" s="2" t="s">
        <v>396</v>
      </c>
    </row>
    <row r="639" spans="1:12" x14ac:dyDescent="0.25">
      <c r="A639" s="1" t="s">
        <v>1351</v>
      </c>
      <c r="B639" s="1" t="s">
        <v>1348</v>
      </c>
      <c r="C639" s="1" t="s">
        <v>638</v>
      </c>
      <c r="D639" s="1" t="s">
        <v>1321</v>
      </c>
      <c r="E639" s="1">
        <v>24</v>
      </c>
      <c r="F6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39" s="1">
        <v>0</v>
      </c>
      <c r="H639" s="1">
        <v>0</v>
      </c>
      <c r="I639" s="1">
        <f>Tabela1[[#This Row],[Siblings and Spouses]]+Tabela1[[#This Row],[Parents and Children]]</f>
        <v>0</v>
      </c>
      <c r="J639" s="3">
        <v>7.7750000000000004</v>
      </c>
      <c r="K6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39" s="2" t="s">
        <v>396</v>
      </c>
    </row>
    <row r="640" spans="1:12" x14ac:dyDescent="0.25">
      <c r="A640" s="1" t="s">
        <v>1351</v>
      </c>
      <c r="B640" s="1" t="s">
        <v>1348</v>
      </c>
      <c r="C640" s="1" t="s">
        <v>639</v>
      </c>
      <c r="D640" s="1" t="s">
        <v>1321</v>
      </c>
      <c r="E640" s="1">
        <v>35</v>
      </c>
      <c r="F6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40" s="1">
        <v>0</v>
      </c>
      <c r="H640" s="1">
        <v>0</v>
      </c>
      <c r="I640" s="1">
        <f>Tabela1[[#This Row],[Siblings and Spouses]]+Tabela1[[#This Row],[Parents and Children]]</f>
        <v>0</v>
      </c>
      <c r="J640" s="3">
        <v>7.05</v>
      </c>
      <c r="K6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40" s="2" t="s">
        <v>396</v>
      </c>
    </row>
    <row r="641" spans="1:12" x14ac:dyDescent="0.25">
      <c r="A641" s="1" t="s">
        <v>1351</v>
      </c>
      <c r="B641" s="1" t="s">
        <v>1348</v>
      </c>
      <c r="C641" s="1" t="s">
        <v>640</v>
      </c>
      <c r="D641" s="1" t="s">
        <v>1321</v>
      </c>
      <c r="E641" s="1">
        <v>5</v>
      </c>
      <c r="F6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41" s="1">
        <v>4</v>
      </c>
      <c r="H641" s="1">
        <v>2</v>
      </c>
      <c r="I641" s="1">
        <f>Tabela1[[#This Row],[Siblings and Spouses]]+Tabela1[[#This Row],[Parents and Children]]</f>
        <v>6</v>
      </c>
      <c r="J641" s="3">
        <v>31.387499999999999</v>
      </c>
      <c r="K6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1" s="2" t="s">
        <v>396</v>
      </c>
    </row>
    <row r="642" spans="1:12" x14ac:dyDescent="0.25">
      <c r="A642" s="1" t="s">
        <v>1351</v>
      </c>
      <c r="B642" s="1" t="s">
        <v>1348</v>
      </c>
      <c r="C642" s="1" t="s">
        <v>641</v>
      </c>
      <c r="D642" s="1" t="s">
        <v>1321</v>
      </c>
      <c r="E642" s="1">
        <v>9</v>
      </c>
      <c r="F6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42" s="1">
        <v>4</v>
      </c>
      <c r="H642" s="1">
        <v>2</v>
      </c>
      <c r="I642" s="1">
        <f>Tabela1[[#This Row],[Siblings and Spouses]]+Tabela1[[#This Row],[Parents and Children]]</f>
        <v>6</v>
      </c>
      <c r="J642" s="3">
        <v>31.387499999999999</v>
      </c>
      <c r="K6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2" s="2" t="s">
        <v>396</v>
      </c>
    </row>
    <row r="643" spans="1:12" x14ac:dyDescent="0.25">
      <c r="A643" s="1" t="s">
        <v>1351</v>
      </c>
      <c r="B643" s="1" t="s">
        <v>1337</v>
      </c>
      <c r="C643" s="1" t="s">
        <v>642</v>
      </c>
      <c r="D643" s="1" t="s">
        <v>1321</v>
      </c>
      <c r="E643" s="1">
        <v>3</v>
      </c>
      <c r="F6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43" s="1">
        <v>4</v>
      </c>
      <c r="H643" s="1">
        <v>2</v>
      </c>
      <c r="I643" s="1">
        <f>Tabela1[[#This Row],[Siblings and Spouses]]+Tabela1[[#This Row],[Parents and Children]]</f>
        <v>6</v>
      </c>
      <c r="J643" s="3">
        <v>31.387499999999999</v>
      </c>
      <c r="K6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3" s="2" t="s">
        <v>396</v>
      </c>
    </row>
    <row r="644" spans="1:12" x14ac:dyDescent="0.25">
      <c r="A644" s="1" t="s">
        <v>1351</v>
      </c>
      <c r="B644" s="1" t="s">
        <v>1348</v>
      </c>
      <c r="C644" s="1" t="s">
        <v>643</v>
      </c>
      <c r="D644" s="1" t="s">
        <v>1321</v>
      </c>
      <c r="E644" s="1">
        <v>13</v>
      </c>
      <c r="F6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44" s="1">
        <v>4</v>
      </c>
      <c r="H644" s="1">
        <v>2</v>
      </c>
      <c r="I644" s="1">
        <f>Tabela1[[#This Row],[Siblings and Spouses]]+Tabela1[[#This Row],[Parents and Children]]</f>
        <v>6</v>
      </c>
      <c r="J644" s="3">
        <v>31.387499999999999</v>
      </c>
      <c r="K6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4" s="2" t="s">
        <v>396</v>
      </c>
    </row>
    <row r="645" spans="1:12" x14ac:dyDescent="0.25">
      <c r="A645" s="1" t="s">
        <v>1351</v>
      </c>
      <c r="B645" s="1" t="s">
        <v>1337</v>
      </c>
      <c r="C645" s="1" t="s">
        <v>644</v>
      </c>
      <c r="D645" s="1" t="s">
        <v>1320</v>
      </c>
      <c r="E645" s="1">
        <v>5</v>
      </c>
      <c r="F6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45" s="1">
        <v>4</v>
      </c>
      <c r="H645" s="1">
        <v>2</v>
      </c>
      <c r="I645" s="1">
        <f>Tabela1[[#This Row],[Siblings and Spouses]]+Tabela1[[#This Row],[Parents and Children]]</f>
        <v>6</v>
      </c>
      <c r="J645" s="3">
        <v>31.387499999999999</v>
      </c>
      <c r="K6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5" s="2" t="s">
        <v>396</v>
      </c>
    </row>
    <row r="646" spans="1:12" x14ac:dyDescent="0.25">
      <c r="A646" s="1" t="s">
        <v>1351</v>
      </c>
      <c r="B646" s="1" t="s">
        <v>1348</v>
      </c>
      <c r="C646" s="1" t="s">
        <v>645</v>
      </c>
      <c r="D646" s="1" t="s">
        <v>1321</v>
      </c>
      <c r="E646" s="1">
        <v>40</v>
      </c>
      <c r="F6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46" s="1">
        <v>1</v>
      </c>
      <c r="H646" s="1">
        <v>5</v>
      </c>
      <c r="I646" s="1">
        <f>Tabela1[[#This Row],[Siblings and Spouses]]+Tabela1[[#This Row],[Parents and Children]]</f>
        <v>6</v>
      </c>
      <c r="J646" s="3">
        <v>31.387499999999999</v>
      </c>
      <c r="K6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6" s="2" t="s">
        <v>396</v>
      </c>
    </row>
    <row r="647" spans="1:12" x14ac:dyDescent="0.25">
      <c r="A647" s="1" t="s">
        <v>1351</v>
      </c>
      <c r="B647" s="1" t="s">
        <v>1337</v>
      </c>
      <c r="C647" s="1" t="s">
        <v>646</v>
      </c>
      <c r="D647" s="1" t="s">
        <v>1321</v>
      </c>
      <c r="E647" s="1">
        <v>23</v>
      </c>
      <c r="F6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47" s="1">
        <v>0</v>
      </c>
      <c r="H647" s="1">
        <v>0</v>
      </c>
      <c r="I647" s="1">
        <f>Tabela1[[#This Row],[Siblings and Spouses]]+Tabela1[[#This Row],[Parents and Children]]</f>
        <v>0</v>
      </c>
      <c r="J647" s="3">
        <v>7.7957999999999998</v>
      </c>
      <c r="K6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47" s="2" t="s">
        <v>396</v>
      </c>
    </row>
    <row r="648" spans="1:12" x14ac:dyDescent="0.25">
      <c r="A648" s="1" t="s">
        <v>1351</v>
      </c>
      <c r="B648" s="1" t="s">
        <v>1337</v>
      </c>
      <c r="C648" s="1" t="s">
        <v>647</v>
      </c>
      <c r="D648" s="1" t="s">
        <v>1320</v>
      </c>
      <c r="E648" s="1">
        <v>38</v>
      </c>
      <c r="F6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48" s="1">
        <v>1</v>
      </c>
      <c r="H648" s="1">
        <v>5</v>
      </c>
      <c r="I648" s="1">
        <f>Tabela1[[#This Row],[Siblings and Spouses]]+Tabela1[[#This Row],[Parents and Children]]</f>
        <v>6</v>
      </c>
      <c r="J648" s="3">
        <v>31.387499999999999</v>
      </c>
      <c r="K6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648" s="2" t="s">
        <v>396</v>
      </c>
    </row>
    <row r="649" spans="1:12" x14ac:dyDescent="0.25">
      <c r="A649" s="1" t="s">
        <v>1351</v>
      </c>
      <c r="B649" s="1" t="s">
        <v>1337</v>
      </c>
      <c r="C649" s="1" t="s">
        <v>648</v>
      </c>
      <c r="D649" s="1" t="s">
        <v>1320</v>
      </c>
      <c r="E649" s="1">
        <v>45</v>
      </c>
      <c r="F6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649" s="1">
        <v>0</v>
      </c>
      <c r="H649" s="1">
        <v>0</v>
      </c>
      <c r="I649" s="1">
        <f>Tabela1[[#This Row],[Siblings and Spouses]]+Tabela1[[#This Row],[Parents and Children]]</f>
        <v>0</v>
      </c>
      <c r="J649" s="3">
        <v>7.2249999999999996</v>
      </c>
      <c r="K6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49" s="2" t="s">
        <v>1318</v>
      </c>
    </row>
    <row r="650" spans="1:12" x14ac:dyDescent="0.25">
      <c r="A650" s="1" t="s">
        <v>1351</v>
      </c>
      <c r="B650" s="1" t="s">
        <v>1348</v>
      </c>
      <c r="C650" s="1" t="s">
        <v>649</v>
      </c>
      <c r="D650" s="1" t="s">
        <v>1321</v>
      </c>
      <c r="E650" s="1">
        <v>21</v>
      </c>
      <c r="F6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50" s="1">
        <v>0</v>
      </c>
      <c r="H650" s="1">
        <v>0</v>
      </c>
      <c r="I650" s="1">
        <f>Tabela1[[#This Row],[Siblings and Spouses]]+Tabela1[[#This Row],[Parents and Children]]</f>
        <v>0</v>
      </c>
      <c r="J650" s="3">
        <v>7.2249999999999996</v>
      </c>
      <c r="K6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50" s="2" t="s">
        <v>1318</v>
      </c>
    </row>
    <row r="651" spans="1:12" x14ac:dyDescent="0.25">
      <c r="A651" s="1" t="s">
        <v>1351</v>
      </c>
      <c r="B651" s="1" t="s">
        <v>1348</v>
      </c>
      <c r="C651" s="1" t="s">
        <v>650</v>
      </c>
      <c r="D651" s="1" t="s">
        <v>1321</v>
      </c>
      <c r="E651" s="1">
        <v>23</v>
      </c>
      <c r="F6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51" s="1">
        <v>0</v>
      </c>
      <c r="H651" s="1">
        <v>0</v>
      </c>
      <c r="I651" s="1">
        <f>Tabela1[[#This Row],[Siblings and Spouses]]+Tabela1[[#This Row],[Parents and Children]]</f>
        <v>0</v>
      </c>
      <c r="J651" s="3">
        <v>7.05</v>
      </c>
      <c r="K6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51" s="2" t="s">
        <v>396</v>
      </c>
    </row>
    <row r="652" spans="1:12" x14ac:dyDescent="0.25">
      <c r="A652" s="1" t="s">
        <v>1351</v>
      </c>
      <c r="B652" s="1" t="s">
        <v>1348</v>
      </c>
      <c r="C652" s="1" t="s">
        <v>651</v>
      </c>
      <c r="D652" s="1" t="s">
        <v>1320</v>
      </c>
      <c r="E652" s="1">
        <v>17</v>
      </c>
      <c r="F6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52" s="1">
        <v>0</v>
      </c>
      <c r="H652" s="1">
        <v>0</v>
      </c>
      <c r="I652" s="1">
        <f>Tabela1[[#This Row],[Siblings and Spouses]]+Tabela1[[#This Row],[Parents and Children]]</f>
        <v>0</v>
      </c>
      <c r="J652" s="3">
        <v>14.458299999999999</v>
      </c>
      <c r="K6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52" s="2" t="s">
        <v>1318</v>
      </c>
    </row>
    <row r="653" spans="1:12" x14ac:dyDescent="0.25">
      <c r="A653" s="1" t="s">
        <v>1351</v>
      </c>
      <c r="B653" s="1" t="s">
        <v>1348</v>
      </c>
      <c r="C653" s="1" t="s">
        <v>652</v>
      </c>
      <c r="D653" s="1" t="s">
        <v>1321</v>
      </c>
      <c r="E653" s="1">
        <v>30</v>
      </c>
      <c r="F6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53" s="1">
        <v>0</v>
      </c>
      <c r="H653" s="1">
        <v>0</v>
      </c>
      <c r="I653" s="1">
        <f>Tabela1[[#This Row],[Siblings and Spouses]]+Tabela1[[#This Row],[Parents and Children]]</f>
        <v>0</v>
      </c>
      <c r="J653" s="3">
        <v>7.2249999999999996</v>
      </c>
      <c r="K6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53" s="2" t="s">
        <v>1318</v>
      </c>
    </row>
    <row r="654" spans="1:12" x14ac:dyDescent="0.25">
      <c r="A654" s="1" t="s">
        <v>1351</v>
      </c>
      <c r="B654" s="1" t="s">
        <v>1348</v>
      </c>
      <c r="C654" s="1" t="s">
        <v>653</v>
      </c>
      <c r="D654" s="1" t="s">
        <v>1321</v>
      </c>
      <c r="E654" s="1">
        <v>23</v>
      </c>
      <c r="F6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54" s="1">
        <v>0</v>
      </c>
      <c r="H654" s="1">
        <v>0</v>
      </c>
      <c r="I654" s="1">
        <f>Tabela1[[#This Row],[Siblings and Spouses]]+Tabela1[[#This Row],[Parents and Children]]</f>
        <v>0</v>
      </c>
      <c r="J654" s="3">
        <v>7.8541999999999996</v>
      </c>
      <c r="K6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54" s="2" t="s">
        <v>396</v>
      </c>
    </row>
    <row r="655" spans="1:12" x14ac:dyDescent="0.25">
      <c r="A655" s="1" t="s">
        <v>1351</v>
      </c>
      <c r="B655" s="1" t="s">
        <v>1337</v>
      </c>
      <c r="C655" s="1" t="s">
        <v>654</v>
      </c>
      <c r="D655" s="1" t="s">
        <v>1320</v>
      </c>
      <c r="E655" s="1">
        <v>13</v>
      </c>
      <c r="F6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55" s="1">
        <v>0</v>
      </c>
      <c r="H655" s="1">
        <v>0</v>
      </c>
      <c r="I655" s="1">
        <f>Tabela1[[#This Row],[Siblings and Spouses]]+Tabela1[[#This Row],[Parents and Children]]</f>
        <v>0</v>
      </c>
      <c r="J655" s="3">
        <v>7.2291999999999996</v>
      </c>
      <c r="K6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55" s="2" t="s">
        <v>1318</v>
      </c>
    </row>
    <row r="656" spans="1:12" x14ac:dyDescent="0.25">
      <c r="A656" s="1" t="s">
        <v>1351</v>
      </c>
      <c r="B656" s="1" t="s">
        <v>1348</v>
      </c>
      <c r="C656" s="1" t="s">
        <v>655</v>
      </c>
      <c r="D656" s="1" t="s">
        <v>1321</v>
      </c>
      <c r="E656" s="1">
        <v>20</v>
      </c>
      <c r="F6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56" s="1">
        <v>0</v>
      </c>
      <c r="H656" s="1">
        <v>0</v>
      </c>
      <c r="I656" s="1">
        <f>Tabela1[[#This Row],[Siblings and Spouses]]+Tabela1[[#This Row],[Parents and Children]]</f>
        <v>0</v>
      </c>
      <c r="J656" s="3">
        <v>7.2249999999999996</v>
      </c>
      <c r="K6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56" s="2" t="s">
        <v>1318</v>
      </c>
    </row>
    <row r="657" spans="1:12" x14ac:dyDescent="0.25">
      <c r="A657" s="1" t="s">
        <v>1351</v>
      </c>
      <c r="B657" s="1" t="s">
        <v>1348</v>
      </c>
      <c r="C657" s="1" t="s">
        <v>656</v>
      </c>
      <c r="D657" s="1" t="s">
        <v>1321</v>
      </c>
      <c r="E657" s="1">
        <v>32</v>
      </c>
      <c r="F6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57" s="1">
        <v>1</v>
      </c>
      <c r="H657" s="1">
        <v>0</v>
      </c>
      <c r="I657" s="1">
        <f>Tabela1[[#This Row],[Siblings and Spouses]]+Tabela1[[#This Row],[Parents and Children]]</f>
        <v>1</v>
      </c>
      <c r="J657" s="3">
        <v>15.85</v>
      </c>
      <c r="K6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57" s="2" t="s">
        <v>396</v>
      </c>
    </row>
    <row r="658" spans="1:12" x14ac:dyDescent="0.25">
      <c r="A658" s="1" t="s">
        <v>1351</v>
      </c>
      <c r="B658" s="1" t="s">
        <v>1337</v>
      </c>
      <c r="C658" s="1" t="s">
        <v>657</v>
      </c>
      <c r="D658" s="1" t="s">
        <v>1320</v>
      </c>
      <c r="E658" s="1">
        <v>33</v>
      </c>
      <c r="F6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58" s="1">
        <v>3</v>
      </c>
      <c r="H658" s="1">
        <v>0</v>
      </c>
      <c r="I658" s="1">
        <f>Tabela1[[#This Row],[Siblings and Spouses]]+Tabela1[[#This Row],[Parents and Children]]</f>
        <v>3</v>
      </c>
      <c r="J658" s="3">
        <v>15.85</v>
      </c>
      <c r="K6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58" s="2" t="s">
        <v>396</v>
      </c>
    </row>
    <row r="659" spans="1:12" x14ac:dyDescent="0.25">
      <c r="A659" s="1" t="s">
        <v>1351</v>
      </c>
      <c r="B659" s="1" t="s">
        <v>1337</v>
      </c>
      <c r="C659" s="1" t="s">
        <v>658</v>
      </c>
      <c r="D659" s="1" t="s">
        <v>1320</v>
      </c>
      <c r="E659" s="1">
        <v>0.75</v>
      </c>
      <c r="F6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59" s="1">
        <v>2</v>
      </c>
      <c r="H659" s="1">
        <v>1</v>
      </c>
      <c r="I659" s="1">
        <f>Tabela1[[#This Row],[Siblings and Spouses]]+Tabela1[[#This Row],[Parents and Children]]</f>
        <v>3</v>
      </c>
      <c r="J659" s="3">
        <v>19.258299999999998</v>
      </c>
      <c r="K6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59" s="2" t="s">
        <v>1318</v>
      </c>
    </row>
    <row r="660" spans="1:12" x14ac:dyDescent="0.25">
      <c r="A660" s="1" t="s">
        <v>1351</v>
      </c>
      <c r="B660" s="1" t="s">
        <v>1337</v>
      </c>
      <c r="C660" s="1" t="s">
        <v>659</v>
      </c>
      <c r="D660" s="1" t="s">
        <v>1320</v>
      </c>
      <c r="E660" s="1">
        <v>0.75</v>
      </c>
      <c r="F6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60" s="1">
        <v>2</v>
      </c>
      <c r="H660" s="1">
        <v>1</v>
      </c>
      <c r="I660" s="1">
        <f>Tabela1[[#This Row],[Siblings and Spouses]]+Tabela1[[#This Row],[Parents and Children]]</f>
        <v>3</v>
      </c>
      <c r="J660" s="3">
        <v>19.258299999999998</v>
      </c>
      <c r="K6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60" s="2" t="s">
        <v>1318</v>
      </c>
    </row>
    <row r="661" spans="1:12" x14ac:dyDescent="0.25">
      <c r="A661" s="1" t="s">
        <v>1351</v>
      </c>
      <c r="B661" s="1" t="s">
        <v>1337</v>
      </c>
      <c r="C661" s="1" t="s">
        <v>660</v>
      </c>
      <c r="D661" s="1" t="s">
        <v>1320</v>
      </c>
      <c r="E661" s="1">
        <v>5</v>
      </c>
      <c r="F6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61" s="1">
        <v>2</v>
      </c>
      <c r="H661" s="1">
        <v>1</v>
      </c>
      <c r="I661" s="1">
        <f>Tabela1[[#This Row],[Siblings and Spouses]]+Tabela1[[#This Row],[Parents and Children]]</f>
        <v>3</v>
      </c>
      <c r="J661" s="3">
        <v>19.258299999999998</v>
      </c>
      <c r="K6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61" s="2" t="s">
        <v>1318</v>
      </c>
    </row>
    <row r="662" spans="1:12" x14ac:dyDescent="0.25">
      <c r="A662" s="1" t="s">
        <v>1351</v>
      </c>
      <c r="B662" s="1" t="s">
        <v>1337</v>
      </c>
      <c r="C662" s="1" t="s">
        <v>661</v>
      </c>
      <c r="D662" s="1" t="s">
        <v>1320</v>
      </c>
      <c r="E662" s="1">
        <v>24</v>
      </c>
      <c r="F6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62" s="1">
        <v>0</v>
      </c>
      <c r="H662" s="1">
        <v>3</v>
      </c>
      <c r="I662" s="1">
        <f>Tabela1[[#This Row],[Siblings and Spouses]]+Tabela1[[#This Row],[Parents and Children]]</f>
        <v>3</v>
      </c>
      <c r="J662" s="3">
        <v>19.258299999999998</v>
      </c>
      <c r="K6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62" s="2" t="s">
        <v>1318</v>
      </c>
    </row>
    <row r="663" spans="1:12" x14ac:dyDescent="0.25">
      <c r="A663" s="1" t="s">
        <v>1351</v>
      </c>
      <c r="B663" s="1" t="s">
        <v>1337</v>
      </c>
      <c r="C663" s="1" t="s">
        <v>662</v>
      </c>
      <c r="D663" s="1" t="s">
        <v>1320</v>
      </c>
      <c r="E663" s="1">
        <v>18</v>
      </c>
      <c r="F6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63" s="1">
        <v>0</v>
      </c>
      <c r="H663" s="1">
        <v>0</v>
      </c>
      <c r="I663" s="1">
        <f>Tabela1[[#This Row],[Siblings and Spouses]]+Tabela1[[#This Row],[Parents and Children]]</f>
        <v>0</v>
      </c>
      <c r="J663" s="3">
        <v>8.0500000000000007</v>
      </c>
      <c r="K6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63" s="2" t="s">
        <v>396</v>
      </c>
    </row>
    <row r="664" spans="1:12" x14ac:dyDescent="0.25">
      <c r="A664" s="1" t="s">
        <v>1351</v>
      </c>
      <c r="B664" s="1" t="s">
        <v>1348</v>
      </c>
      <c r="C664" s="1" t="s">
        <v>663</v>
      </c>
      <c r="D664" s="1" t="s">
        <v>1321</v>
      </c>
      <c r="E664" s="1">
        <v>40</v>
      </c>
      <c r="F6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64" s="1">
        <v>0</v>
      </c>
      <c r="H664" s="1">
        <v>0</v>
      </c>
      <c r="I664" s="1">
        <f>Tabela1[[#This Row],[Siblings and Spouses]]+Tabela1[[#This Row],[Parents and Children]]</f>
        <v>0</v>
      </c>
      <c r="J664" s="3">
        <v>7.2249999999999996</v>
      </c>
      <c r="K6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64" s="2" t="s">
        <v>1318</v>
      </c>
    </row>
    <row r="665" spans="1:12" x14ac:dyDescent="0.25">
      <c r="A665" s="1" t="s">
        <v>1351</v>
      </c>
      <c r="B665" s="1" t="s">
        <v>1348</v>
      </c>
      <c r="C665" s="1" t="s">
        <v>664</v>
      </c>
      <c r="D665" s="1" t="s">
        <v>1321</v>
      </c>
      <c r="E665" s="1">
        <v>26</v>
      </c>
      <c r="F6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65" s="1">
        <v>0</v>
      </c>
      <c r="H665" s="1">
        <v>0</v>
      </c>
      <c r="I665" s="1">
        <f>Tabela1[[#This Row],[Siblings and Spouses]]+Tabela1[[#This Row],[Parents and Children]]</f>
        <v>0</v>
      </c>
      <c r="J665" s="3">
        <v>7.8958000000000004</v>
      </c>
      <c r="K6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65" s="2" t="s">
        <v>396</v>
      </c>
    </row>
    <row r="666" spans="1:12" x14ac:dyDescent="0.25">
      <c r="A666" s="1" t="s">
        <v>1351</v>
      </c>
      <c r="B666" s="1" t="s">
        <v>1337</v>
      </c>
      <c r="C666" s="1" t="s">
        <v>665</v>
      </c>
      <c r="D666" s="1" t="s">
        <v>1321</v>
      </c>
      <c r="E666" s="1">
        <v>20</v>
      </c>
      <c r="F6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66" s="1">
        <v>0</v>
      </c>
      <c r="H666" s="1">
        <v>0</v>
      </c>
      <c r="I666" s="1">
        <f>Tabela1[[#This Row],[Siblings and Spouses]]+Tabela1[[#This Row],[Parents and Children]]</f>
        <v>0</v>
      </c>
      <c r="J666" s="3">
        <v>7.2291999999999996</v>
      </c>
      <c r="K6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66" s="2" t="s">
        <v>1318</v>
      </c>
    </row>
    <row r="667" spans="1:12" x14ac:dyDescent="0.25">
      <c r="A667" s="1" t="s">
        <v>1351</v>
      </c>
      <c r="B667" s="1" t="s">
        <v>1348</v>
      </c>
      <c r="C667" s="1" t="s">
        <v>666</v>
      </c>
      <c r="D667" s="1" t="s">
        <v>1320</v>
      </c>
      <c r="E667" s="1">
        <v>18</v>
      </c>
      <c r="F6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67" s="1">
        <v>0</v>
      </c>
      <c r="H667" s="1">
        <v>1</v>
      </c>
      <c r="I667" s="1">
        <f>Tabela1[[#This Row],[Siblings and Spouses]]+Tabela1[[#This Row],[Parents and Children]]</f>
        <v>1</v>
      </c>
      <c r="J667" s="3">
        <v>14.4542</v>
      </c>
      <c r="K6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67" s="2" t="s">
        <v>1318</v>
      </c>
    </row>
    <row r="668" spans="1:12" x14ac:dyDescent="0.25">
      <c r="A668" s="1" t="s">
        <v>1351</v>
      </c>
      <c r="B668" s="1" t="s">
        <v>1348</v>
      </c>
      <c r="C668" s="1" t="s">
        <v>667</v>
      </c>
      <c r="D668" s="1" t="s">
        <v>1320</v>
      </c>
      <c r="E668" s="1">
        <v>45</v>
      </c>
      <c r="F6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668" s="1">
        <v>0</v>
      </c>
      <c r="H668" s="1">
        <v>1</v>
      </c>
      <c r="I668" s="1">
        <f>Tabela1[[#This Row],[Siblings and Spouses]]+Tabela1[[#This Row],[Parents and Children]]</f>
        <v>1</v>
      </c>
      <c r="J668" s="3">
        <v>14.4542</v>
      </c>
      <c r="K6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68" s="2" t="s">
        <v>1318</v>
      </c>
    </row>
    <row r="669" spans="1:12" x14ac:dyDescent="0.25">
      <c r="A669" s="1" t="s">
        <v>1351</v>
      </c>
      <c r="B669" s="1" t="s">
        <v>1348</v>
      </c>
      <c r="C669" s="1" t="s">
        <v>668</v>
      </c>
      <c r="D669" s="1" t="s">
        <v>1320</v>
      </c>
      <c r="E669" s="1">
        <v>27</v>
      </c>
      <c r="F6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69" s="1">
        <v>0</v>
      </c>
      <c r="H669" s="1">
        <v>0</v>
      </c>
      <c r="I669" s="1">
        <f>Tabela1[[#This Row],[Siblings and Spouses]]+Tabela1[[#This Row],[Parents and Children]]</f>
        <v>0</v>
      </c>
      <c r="J669" s="3">
        <v>7.8792</v>
      </c>
      <c r="K6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69" s="2" t="s">
        <v>1319</v>
      </c>
    </row>
    <row r="670" spans="1:12" x14ac:dyDescent="0.25">
      <c r="A670" s="1" t="s">
        <v>1351</v>
      </c>
      <c r="B670" s="1" t="s">
        <v>1348</v>
      </c>
      <c r="C670" s="1" t="s">
        <v>669</v>
      </c>
      <c r="D670" s="1" t="s">
        <v>1321</v>
      </c>
      <c r="E670" s="1">
        <v>22</v>
      </c>
      <c r="F6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0" s="1">
        <v>0</v>
      </c>
      <c r="H670" s="1">
        <v>0</v>
      </c>
      <c r="I670" s="1">
        <f>Tabela1[[#This Row],[Siblings and Spouses]]+Tabela1[[#This Row],[Parents and Children]]</f>
        <v>0</v>
      </c>
      <c r="J670" s="3">
        <v>8.0500000000000007</v>
      </c>
      <c r="K6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0" s="2" t="s">
        <v>396</v>
      </c>
    </row>
    <row r="671" spans="1:12" x14ac:dyDescent="0.25">
      <c r="A671" s="1" t="s">
        <v>1351</v>
      </c>
      <c r="B671" s="1" t="s">
        <v>1348</v>
      </c>
      <c r="C671" s="1" t="s">
        <v>670</v>
      </c>
      <c r="D671" s="1" t="s">
        <v>1321</v>
      </c>
      <c r="E671" s="1">
        <v>19</v>
      </c>
      <c r="F6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1" s="1">
        <v>0</v>
      </c>
      <c r="H671" s="1">
        <v>0</v>
      </c>
      <c r="I671" s="1">
        <f>Tabela1[[#This Row],[Siblings and Spouses]]+Tabela1[[#This Row],[Parents and Children]]</f>
        <v>0</v>
      </c>
      <c r="J671" s="3">
        <v>8.0500000000000007</v>
      </c>
      <c r="K6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1" s="2" t="s">
        <v>396</v>
      </c>
    </row>
    <row r="672" spans="1:12" x14ac:dyDescent="0.25">
      <c r="A672" s="1" t="s">
        <v>1351</v>
      </c>
      <c r="B672" s="1" t="s">
        <v>1348</v>
      </c>
      <c r="C672" s="1" t="s">
        <v>671</v>
      </c>
      <c r="D672" s="1" t="s">
        <v>1321</v>
      </c>
      <c r="E672" s="1">
        <v>26</v>
      </c>
      <c r="F6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2" s="1">
        <v>0</v>
      </c>
      <c r="H672" s="1">
        <v>0</v>
      </c>
      <c r="I672" s="1">
        <f>Tabela1[[#This Row],[Siblings and Spouses]]+Tabela1[[#This Row],[Parents and Children]]</f>
        <v>0</v>
      </c>
      <c r="J672" s="3">
        <v>7.7750000000000004</v>
      </c>
      <c r="K6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2" s="2" t="s">
        <v>396</v>
      </c>
    </row>
    <row r="673" spans="1:12" x14ac:dyDescent="0.25">
      <c r="A673" s="1" t="s">
        <v>1351</v>
      </c>
      <c r="B673" s="1" t="s">
        <v>1348</v>
      </c>
      <c r="C673" s="1" t="s">
        <v>672</v>
      </c>
      <c r="D673" s="1" t="s">
        <v>1321</v>
      </c>
      <c r="E673" s="1">
        <v>22</v>
      </c>
      <c r="F6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3" s="1">
        <v>0</v>
      </c>
      <c r="H673" s="1">
        <v>0</v>
      </c>
      <c r="I673" s="1">
        <f>Tabela1[[#This Row],[Siblings and Spouses]]+Tabela1[[#This Row],[Parents and Children]]</f>
        <v>0</v>
      </c>
      <c r="J673" s="3">
        <v>9.35</v>
      </c>
      <c r="K6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3" s="2" t="s">
        <v>396</v>
      </c>
    </row>
    <row r="674" spans="1:12" x14ac:dyDescent="0.25">
      <c r="A674" s="1" t="s">
        <v>1351</v>
      </c>
      <c r="B674" s="1" t="s">
        <v>1348</v>
      </c>
      <c r="C674" s="1" t="s">
        <v>673</v>
      </c>
      <c r="D674" s="1" t="s">
        <v>1321</v>
      </c>
      <c r="E674" s="1" t="s">
        <v>1323</v>
      </c>
      <c r="F6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674" s="1">
        <v>0</v>
      </c>
      <c r="H674" s="1">
        <v>0</v>
      </c>
      <c r="I674" s="1">
        <f>Tabela1[[#This Row],[Siblings and Spouses]]+Tabela1[[#This Row],[Parents and Children]]</f>
        <v>0</v>
      </c>
      <c r="J674" s="3">
        <v>7.2291999999999996</v>
      </c>
      <c r="K6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4" s="2" t="s">
        <v>1318</v>
      </c>
    </row>
    <row r="675" spans="1:12" x14ac:dyDescent="0.25">
      <c r="A675" s="1" t="s">
        <v>1351</v>
      </c>
      <c r="B675" s="1" t="s">
        <v>1348</v>
      </c>
      <c r="C675" s="1" t="s">
        <v>674</v>
      </c>
      <c r="D675" s="1" t="s">
        <v>1321</v>
      </c>
      <c r="E675" s="1">
        <v>20</v>
      </c>
      <c r="F6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5" s="1">
        <v>0</v>
      </c>
      <c r="H675" s="1">
        <v>0</v>
      </c>
      <c r="I675" s="1">
        <f>Tabela1[[#This Row],[Siblings and Spouses]]+Tabela1[[#This Row],[Parents and Children]]</f>
        <v>0</v>
      </c>
      <c r="J675" s="3">
        <v>4.0125000000000002</v>
      </c>
      <c r="K6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5" s="2" t="s">
        <v>1318</v>
      </c>
    </row>
    <row r="676" spans="1:12" x14ac:dyDescent="0.25">
      <c r="A676" s="1" t="s">
        <v>1351</v>
      </c>
      <c r="B676" s="1" t="s">
        <v>1337</v>
      </c>
      <c r="C676" s="1" t="s">
        <v>675</v>
      </c>
      <c r="D676" s="1" t="s">
        <v>1321</v>
      </c>
      <c r="E676" s="1">
        <v>32</v>
      </c>
      <c r="F6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76" s="1">
        <v>0</v>
      </c>
      <c r="H676" s="1">
        <v>0</v>
      </c>
      <c r="I676" s="1">
        <f>Tabela1[[#This Row],[Siblings and Spouses]]+Tabela1[[#This Row],[Parents and Children]]</f>
        <v>0</v>
      </c>
      <c r="J676" s="3">
        <v>56.495800000000003</v>
      </c>
      <c r="K6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676" s="2" t="s">
        <v>396</v>
      </c>
    </row>
    <row r="677" spans="1:12" x14ac:dyDescent="0.25">
      <c r="A677" s="1" t="s">
        <v>1351</v>
      </c>
      <c r="B677" s="1" t="s">
        <v>1348</v>
      </c>
      <c r="C677" s="1" t="s">
        <v>676</v>
      </c>
      <c r="D677" s="1" t="s">
        <v>1321</v>
      </c>
      <c r="E677" s="1">
        <v>21</v>
      </c>
      <c r="F6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7" s="1">
        <v>0</v>
      </c>
      <c r="H677" s="1">
        <v>0</v>
      </c>
      <c r="I677" s="1">
        <f>Tabela1[[#This Row],[Siblings and Spouses]]+Tabela1[[#This Row],[Parents and Children]]</f>
        <v>0</v>
      </c>
      <c r="J677" s="3">
        <v>7.7750000000000004</v>
      </c>
      <c r="K6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7" s="2" t="s">
        <v>396</v>
      </c>
    </row>
    <row r="678" spans="1:12" x14ac:dyDescent="0.25">
      <c r="A678" s="1" t="s">
        <v>1351</v>
      </c>
      <c r="B678" s="1" t="s">
        <v>1348</v>
      </c>
      <c r="C678" s="1" t="s">
        <v>677</v>
      </c>
      <c r="D678" s="1" t="s">
        <v>1321</v>
      </c>
      <c r="E678" s="1">
        <v>18</v>
      </c>
      <c r="F6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78" s="1">
        <v>0</v>
      </c>
      <c r="H678" s="1">
        <v>0</v>
      </c>
      <c r="I678" s="1">
        <f>Tabela1[[#This Row],[Siblings and Spouses]]+Tabela1[[#This Row],[Parents and Children]]</f>
        <v>0</v>
      </c>
      <c r="J678" s="3">
        <v>7.75</v>
      </c>
      <c r="K6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8" s="2" t="s">
        <v>396</v>
      </c>
    </row>
    <row r="679" spans="1:12" x14ac:dyDescent="0.25">
      <c r="A679" s="1" t="s">
        <v>1351</v>
      </c>
      <c r="B679" s="1" t="s">
        <v>1348</v>
      </c>
      <c r="C679" s="1" t="s">
        <v>678</v>
      </c>
      <c r="D679" s="1" t="s">
        <v>1321</v>
      </c>
      <c r="E679" s="1">
        <v>26</v>
      </c>
      <c r="F6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79" s="1">
        <v>0</v>
      </c>
      <c r="H679" s="1">
        <v>0</v>
      </c>
      <c r="I679" s="1">
        <f>Tabela1[[#This Row],[Siblings and Spouses]]+Tabela1[[#This Row],[Parents and Children]]</f>
        <v>0</v>
      </c>
      <c r="J679" s="3">
        <v>7.8958000000000004</v>
      </c>
      <c r="K6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79" s="2" t="s">
        <v>396</v>
      </c>
    </row>
    <row r="680" spans="1:12" x14ac:dyDescent="0.25">
      <c r="A680" s="1" t="s">
        <v>1351</v>
      </c>
      <c r="B680" s="1" t="s">
        <v>1348</v>
      </c>
      <c r="C680" s="1" t="s">
        <v>679</v>
      </c>
      <c r="D680" s="1" t="s">
        <v>1321</v>
      </c>
      <c r="E680" s="1">
        <v>6</v>
      </c>
      <c r="F6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80" s="1">
        <v>1</v>
      </c>
      <c r="H680" s="1">
        <v>1</v>
      </c>
      <c r="I680" s="1">
        <f>Tabela1[[#This Row],[Siblings and Spouses]]+Tabela1[[#This Row],[Parents and Children]]</f>
        <v>2</v>
      </c>
      <c r="J680" s="3">
        <v>15.245799999999999</v>
      </c>
      <c r="K6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80" s="2" t="s">
        <v>1318</v>
      </c>
    </row>
    <row r="681" spans="1:12" x14ac:dyDescent="0.25">
      <c r="A681" s="1" t="s">
        <v>1351</v>
      </c>
      <c r="B681" s="1" t="s">
        <v>1348</v>
      </c>
      <c r="C681" s="1" t="s">
        <v>680</v>
      </c>
      <c r="D681" s="1" t="s">
        <v>1320</v>
      </c>
      <c r="E681" s="1">
        <v>9</v>
      </c>
      <c r="F6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81" s="1">
        <v>1</v>
      </c>
      <c r="H681" s="1">
        <v>1</v>
      </c>
      <c r="I681" s="1">
        <f>Tabela1[[#This Row],[Siblings and Spouses]]+Tabela1[[#This Row],[Parents and Children]]</f>
        <v>2</v>
      </c>
      <c r="J681" s="3">
        <v>15.245799999999999</v>
      </c>
      <c r="K6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81" s="2" t="s">
        <v>1318</v>
      </c>
    </row>
    <row r="682" spans="1:12" x14ac:dyDescent="0.25">
      <c r="A682" s="1" t="s">
        <v>1351</v>
      </c>
      <c r="B682" s="1" t="s">
        <v>1348</v>
      </c>
      <c r="C682" s="1" t="s">
        <v>681</v>
      </c>
      <c r="D682" s="1" t="s">
        <v>1321</v>
      </c>
      <c r="E682" s="1" t="s">
        <v>1323</v>
      </c>
      <c r="F6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682" s="1">
        <v>0</v>
      </c>
      <c r="H682" s="1">
        <v>0</v>
      </c>
      <c r="I682" s="1">
        <f>Tabela1[[#This Row],[Siblings and Spouses]]+Tabela1[[#This Row],[Parents and Children]]</f>
        <v>0</v>
      </c>
      <c r="J682" s="3">
        <v>7.2249999999999996</v>
      </c>
      <c r="K6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82" s="2" t="s">
        <v>1318</v>
      </c>
    </row>
    <row r="683" spans="1:12" x14ac:dyDescent="0.25">
      <c r="A683" s="1" t="s">
        <v>1351</v>
      </c>
      <c r="B683" s="1" t="s">
        <v>1348</v>
      </c>
      <c r="C683" s="1" t="s">
        <v>682</v>
      </c>
      <c r="D683" s="1" t="s">
        <v>1320</v>
      </c>
      <c r="E683" s="1" t="s">
        <v>1323</v>
      </c>
      <c r="F6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683" s="1">
        <v>0</v>
      </c>
      <c r="H683" s="1">
        <v>2</v>
      </c>
      <c r="I683" s="1">
        <f>Tabela1[[#This Row],[Siblings and Spouses]]+Tabela1[[#This Row],[Parents and Children]]</f>
        <v>2</v>
      </c>
      <c r="J683" s="3">
        <v>15.245799999999999</v>
      </c>
      <c r="K6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83" s="2" t="s">
        <v>1318</v>
      </c>
    </row>
    <row r="684" spans="1:12" x14ac:dyDescent="0.25">
      <c r="A684" s="1" t="s">
        <v>1351</v>
      </c>
      <c r="B684" s="1" t="s">
        <v>1348</v>
      </c>
      <c r="C684" s="1" t="s">
        <v>683</v>
      </c>
      <c r="D684" s="1" t="s">
        <v>1320</v>
      </c>
      <c r="E684" s="1" t="s">
        <v>1323</v>
      </c>
      <c r="F6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684" s="1">
        <v>0</v>
      </c>
      <c r="H684" s="1">
        <v>2</v>
      </c>
      <c r="I684" s="1">
        <f>Tabela1[[#This Row],[Siblings and Spouses]]+Tabela1[[#This Row],[Parents and Children]]</f>
        <v>2</v>
      </c>
      <c r="J684" s="3">
        <v>7.75</v>
      </c>
      <c r="K6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84" s="2" t="s">
        <v>1319</v>
      </c>
    </row>
    <row r="685" spans="1:12" x14ac:dyDescent="0.25">
      <c r="A685" s="1" t="s">
        <v>1351</v>
      </c>
      <c r="B685" s="1" t="s">
        <v>1348</v>
      </c>
      <c r="C685" s="1" t="s">
        <v>684</v>
      </c>
      <c r="D685" s="1" t="s">
        <v>1321</v>
      </c>
      <c r="E685" s="1">
        <v>40</v>
      </c>
      <c r="F6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85" s="1">
        <v>1</v>
      </c>
      <c r="H685" s="1">
        <v>1</v>
      </c>
      <c r="I685" s="1">
        <f>Tabela1[[#This Row],[Siblings and Spouses]]+Tabela1[[#This Row],[Parents and Children]]</f>
        <v>2</v>
      </c>
      <c r="J685" s="3">
        <v>15.5</v>
      </c>
      <c r="K6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85" s="2" t="s">
        <v>1319</v>
      </c>
    </row>
    <row r="686" spans="1:12" x14ac:dyDescent="0.25">
      <c r="A686" s="1" t="s">
        <v>1351</v>
      </c>
      <c r="B686" s="1" t="s">
        <v>1348</v>
      </c>
      <c r="C686" s="1" t="s">
        <v>685</v>
      </c>
      <c r="D686" s="1" t="s">
        <v>1320</v>
      </c>
      <c r="E686" s="1">
        <v>32</v>
      </c>
      <c r="F6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86" s="1">
        <v>1</v>
      </c>
      <c r="H686" s="1">
        <v>1</v>
      </c>
      <c r="I686" s="1">
        <f>Tabela1[[#This Row],[Siblings and Spouses]]+Tabela1[[#This Row],[Parents and Children]]</f>
        <v>2</v>
      </c>
      <c r="J686" s="3">
        <v>15.5</v>
      </c>
      <c r="K6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86" s="2" t="s">
        <v>1319</v>
      </c>
    </row>
    <row r="687" spans="1:12" x14ac:dyDescent="0.25">
      <c r="A687" s="1" t="s">
        <v>1351</v>
      </c>
      <c r="B687" s="1" t="s">
        <v>1348</v>
      </c>
      <c r="C687" s="1" t="s">
        <v>686</v>
      </c>
      <c r="D687" s="1" t="s">
        <v>1321</v>
      </c>
      <c r="E687" s="1">
        <v>21</v>
      </c>
      <c r="F6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87" s="1">
        <v>0</v>
      </c>
      <c r="H687" s="1">
        <v>0</v>
      </c>
      <c r="I687" s="1">
        <f>Tabela1[[#This Row],[Siblings and Spouses]]+Tabela1[[#This Row],[Parents and Children]]</f>
        <v>0</v>
      </c>
      <c r="J687" s="3">
        <v>16.100000000000001</v>
      </c>
      <c r="K6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687" s="2" t="s">
        <v>396</v>
      </c>
    </row>
    <row r="688" spans="1:12" x14ac:dyDescent="0.25">
      <c r="A688" s="1" t="s">
        <v>1351</v>
      </c>
      <c r="B688" s="1" t="s">
        <v>1337</v>
      </c>
      <c r="C688" s="1" t="s">
        <v>687</v>
      </c>
      <c r="D688" s="1" t="s">
        <v>1320</v>
      </c>
      <c r="E688" s="1">
        <v>22</v>
      </c>
      <c r="F6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88" s="1">
        <v>0</v>
      </c>
      <c r="H688" s="1">
        <v>0</v>
      </c>
      <c r="I688" s="1">
        <f>Tabela1[[#This Row],[Siblings and Spouses]]+Tabela1[[#This Row],[Parents and Children]]</f>
        <v>0</v>
      </c>
      <c r="J688" s="3">
        <v>7.7249999999999996</v>
      </c>
      <c r="K6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88" s="2" t="s">
        <v>1319</v>
      </c>
    </row>
    <row r="689" spans="1:12" x14ac:dyDescent="0.25">
      <c r="A689" s="1" t="s">
        <v>1351</v>
      </c>
      <c r="B689" s="1" t="s">
        <v>1348</v>
      </c>
      <c r="C689" s="1" t="s">
        <v>688</v>
      </c>
      <c r="D689" s="1" t="s">
        <v>1320</v>
      </c>
      <c r="E689" s="1">
        <v>20</v>
      </c>
      <c r="F6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89" s="1">
        <v>0</v>
      </c>
      <c r="H689" s="1">
        <v>0</v>
      </c>
      <c r="I689" s="1">
        <f>Tabela1[[#This Row],[Siblings and Spouses]]+Tabela1[[#This Row],[Parents and Children]]</f>
        <v>0</v>
      </c>
      <c r="J689" s="3">
        <v>7.8541999999999996</v>
      </c>
      <c r="K6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89" s="2" t="s">
        <v>396</v>
      </c>
    </row>
    <row r="690" spans="1:12" x14ac:dyDescent="0.25">
      <c r="A690" s="1" t="s">
        <v>1351</v>
      </c>
      <c r="B690" s="1" t="s">
        <v>1348</v>
      </c>
      <c r="C690" s="1" t="s">
        <v>689</v>
      </c>
      <c r="D690" s="1" t="s">
        <v>1321</v>
      </c>
      <c r="E690" s="1">
        <v>29</v>
      </c>
      <c r="F6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0" s="1">
        <v>1</v>
      </c>
      <c r="H690" s="1">
        <v>0</v>
      </c>
      <c r="I690" s="1">
        <f>Tabela1[[#This Row],[Siblings and Spouses]]+Tabela1[[#This Row],[Parents and Children]]</f>
        <v>1</v>
      </c>
      <c r="J690" s="3">
        <v>7.0457999999999998</v>
      </c>
      <c r="K6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0" s="2" t="s">
        <v>396</v>
      </c>
    </row>
    <row r="691" spans="1:12" x14ac:dyDescent="0.25">
      <c r="A691" s="1" t="s">
        <v>1351</v>
      </c>
      <c r="B691" s="1" t="s">
        <v>1348</v>
      </c>
      <c r="C691" s="1" t="s">
        <v>690</v>
      </c>
      <c r="D691" s="1" t="s">
        <v>1321</v>
      </c>
      <c r="E691" s="1">
        <v>22</v>
      </c>
      <c r="F6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1" s="1">
        <v>1</v>
      </c>
      <c r="H691" s="1">
        <v>0</v>
      </c>
      <c r="I691" s="1">
        <f>Tabela1[[#This Row],[Siblings and Spouses]]+Tabela1[[#This Row],[Parents and Children]]</f>
        <v>1</v>
      </c>
      <c r="J691" s="3">
        <v>7.25</v>
      </c>
      <c r="K6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1" s="2" t="s">
        <v>396</v>
      </c>
    </row>
    <row r="692" spans="1:12" x14ac:dyDescent="0.25">
      <c r="A692" s="1" t="s">
        <v>1351</v>
      </c>
      <c r="B692" s="1" t="s">
        <v>1348</v>
      </c>
      <c r="C692" s="1" t="s">
        <v>691</v>
      </c>
      <c r="D692" s="1" t="s">
        <v>1321</v>
      </c>
      <c r="E692" s="1">
        <v>22</v>
      </c>
      <c r="F6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2" s="1">
        <v>0</v>
      </c>
      <c r="H692" s="1">
        <v>0</v>
      </c>
      <c r="I692" s="1">
        <f>Tabela1[[#This Row],[Siblings and Spouses]]+Tabela1[[#This Row],[Parents and Children]]</f>
        <v>0</v>
      </c>
      <c r="J692" s="3">
        <v>7.7957999999999998</v>
      </c>
      <c r="K6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2" s="2" t="s">
        <v>396</v>
      </c>
    </row>
    <row r="693" spans="1:12" x14ac:dyDescent="0.25">
      <c r="A693" s="1" t="s">
        <v>1351</v>
      </c>
      <c r="B693" s="1" t="s">
        <v>1348</v>
      </c>
      <c r="C693" s="1" t="s">
        <v>692</v>
      </c>
      <c r="D693" s="1" t="s">
        <v>1321</v>
      </c>
      <c r="E693" s="1">
        <v>35</v>
      </c>
      <c r="F6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693" s="1">
        <v>0</v>
      </c>
      <c r="H693" s="1">
        <v>0</v>
      </c>
      <c r="I693" s="1">
        <f>Tabela1[[#This Row],[Siblings and Spouses]]+Tabela1[[#This Row],[Parents and Children]]</f>
        <v>0</v>
      </c>
      <c r="J693" s="3">
        <v>8.0500000000000007</v>
      </c>
      <c r="K6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3" s="2" t="s">
        <v>396</v>
      </c>
    </row>
    <row r="694" spans="1:12" x14ac:dyDescent="0.25">
      <c r="A694" s="1" t="s">
        <v>1351</v>
      </c>
      <c r="B694" s="1" t="s">
        <v>1348</v>
      </c>
      <c r="C694" s="1" t="s">
        <v>693</v>
      </c>
      <c r="D694" s="1" t="s">
        <v>1320</v>
      </c>
      <c r="E694" s="1">
        <v>18.5</v>
      </c>
      <c r="F6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4" s="1">
        <v>0</v>
      </c>
      <c r="H694" s="1">
        <v>0</v>
      </c>
      <c r="I694" s="1">
        <f>Tabela1[[#This Row],[Siblings and Spouses]]+Tabela1[[#This Row],[Parents and Children]]</f>
        <v>0</v>
      </c>
      <c r="J694" s="3">
        <v>7.2832999999999997</v>
      </c>
      <c r="K6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4" s="2" t="s">
        <v>1319</v>
      </c>
    </row>
    <row r="695" spans="1:12" x14ac:dyDescent="0.25">
      <c r="A695" s="1" t="s">
        <v>1351</v>
      </c>
      <c r="B695" s="1" t="s">
        <v>1337</v>
      </c>
      <c r="C695" s="1" t="s">
        <v>694</v>
      </c>
      <c r="D695" s="1" t="s">
        <v>1321</v>
      </c>
      <c r="E695" s="1">
        <v>21</v>
      </c>
      <c r="F6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5" s="1">
        <v>0</v>
      </c>
      <c r="H695" s="1">
        <v>0</v>
      </c>
      <c r="I695" s="1">
        <f>Tabela1[[#This Row],[Siblings and Spouses]]+Tabela1[[#This Row],[Parents and Children]]</f>
        <v>0</v>
      </c>
      <c r="J695" s="3">
        <v>7.8208000000000002</v>
      </c>
      <c r="K6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5" s="2" t="s">
        <v>1319</v>
      </c>
    </row>
    <row r="696" spans="1:12" x14ac:dyDescent="0.25">
      <c r="A696" s="1" t="s">
        <v>1351</v>
      </c>
      <c r="B696" s="1" t="s">
        <v>1348</v>
      </c>
      <c r="C696" s="1" t="s">
        <v>695</v>
      </c>
      <c r="D696" s="1" t="s">
        <v>1321</v>
      </c>
      <c r="E696" s="1">
        <v>19</v>
      </c>
      <c r="F6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6" s="1">
        <v>0</v>
      </c>
      <c r="H696" s="1">
        <v>0</v>
      </c>
      <c r="I696" s="1">
        <f>Tabela1[[#This Row],[Siblings and Spouses]]+Tabela1[[#This Row],[Parents and Children]]</f>
        <v>0</v>
      </c>
      <c r="J696" s="3">
        <v>6.75</v>
      </c>
      <c r="K6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6" s="2" t="s">
        <v>1319</v>
      </c>
    </row>
    <row r="697" spans="1:12" x14ac:dyDescent="0.25">
      <c r="A697" s="1" t="s">
        <v>1351</v>
      </c>
      <c r="B697" s="1" t="s">
        <v>1348</v>
      </c>
      <c r="C697" s="1" t="s">
        <v>696</v>
      </c>
      <c r="D697" s="1" t="s">
        <v>1320</v>
      </c>
      <c r="E697" s="1">
        <v>18</v>
      </c>
      <c r="F6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697" s="1">
        <v>0</v>
      </c>
      <c r="H697" s="1">
        <v>0</v>
      </c>
      <c r="I697" s="1">
        <f>Tabela1[[#This Row],[Siblings and Spouses]]+Tabela1[[#This Row],[Parents and Children]]</f>
        <v>0</v>
      </c>
      <c r="J697" s="3">
        <v>7.8792</v>
      </c>
      <c r="K6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7" s="2" t="s">
        <v>1319</v>
      </c>
    </row>
    <row r="698" spans="1:12" x14ac:dyDescent="0.25">
      <c r="A698" s="1" t="s">
        <v>1351</v>
      </c>
      <c r="B698" s="1" t="s">
        <v>1348</v>
      </c>
      <c r="C698" s="1" t="s">
        <v>697</v>
      </c>
      <c r="D698" s="1" t="s">
        <v>1320</v>
      </c>
      <c r="E698" s="1">
        <v>21</v>
      </c>
      <c r="F6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8" s="1">
        <v>0</v>
      </c>
      <c r="H698" s="1">
        <v>0</v>
      </c>
      <c r="I698" s="1">
        <f>Tabela1[[#This Row],[Siblings and Spouses]]+Tabela1[[#This Row],[Parents and Children]]</f>
        <v>0</v>
      </c>
      <c r="J698" s="3">
        <v>8.6624999999999996</v>
      </c>
      <c r="K6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8" s="2" t="s">
        <v>396</v>
      </c>
    </row>
    <row r="699" spans="1:12" x14ac:dyDescent="0.25">
      <c r="A699" s="1" t="s">
        <v>1351</v>
      </c>
      <c r="B699" s="1" t="s">
        <v>1348</v>
      </c>
      <c r="C699" s="1" t="s">
        <v>698</v>
      </c>
      <c r="D699" s="1" t="s">
        <v>1320</v>
      </c>
      <c r="E699" s="1">
        <v>30</v>
      </c>
      <c r="F6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699" s="1">
        <v>0</v>
      </c>
      <c r="H699" s="1">
        <v>0</v>
      </c>
      <c r="I699" s="1">
        <f>Tabela1[[#This Row],[Siblings and Spouses]]+Tabela1[[#This Row],[Parents and Children]]</f>
        <v>0</v>
      </c>
      <c r="J699" s="3">
        <v>8.6624999999999996</v>
      </c>
      <c r="K6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699" s="2" t="s">
        <v>396</v>
      </c>
    </row>
    <row r="700" spans="1:12" x14ac:dyDescent="0.25">
      <c r="A700" s="1" t="s">
        <v>1351</v>
      </c>
      <c r="B700" s="1" t="s">
        <v>1348</v>
      </c>
      <c r="C700" s="1" t="s">
        <v>699</v>
      </c>
      <c r="D700" s="1" t="s">
        <v>1321</v>
      </c>
      <c r="E700" s="1">
        <v>18</v>
      </c>
      <c r="F7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00" s="1">
        <v>0</v>
      </c>
      <c r="H700" s="1">
        <v>0</v>
      </c>
      <c r="I700" s="1">
        <f>Tabela1[[#This Row],[Siblings and Spouses]]+Tabela1[[#This Row],[Parents and Children]]</f>
        <v>0</v>
      </c>
      <c r="J700" s="3">
        <v>8.6624999999999996</v>
      </c>
      <c r="K7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0" s="2" t="s">
        <v>396</v>
      </c>
    </row>
    <row r="701" spans="1:12" x14ac:dyDescent="0.25">
      <c r="A701" s="1" t="s">
        <v>1351</v>
      </c>
      <c r="B701" s="1" t="s">
        <v>1348</v>
      </c>
      <c r="C701" s="1" t="s">
        <v>700</v>
      </c>
      <c r="D701" s="1" t="s">
        <v>1321</v>
      </c>
      <c r="E701" s="1">
        <v>38</v>
      </c>
      <c r="F7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01" s="1">
        <v>0</v>
      </c>
      <c r="H701" s="1">
        <v>0</v>
      </c>
      <c r="I701" s="1">
        <f>Tabela1[[#This Row],[Siblings and Spouses]]+Tabela1[[#This Row],[Parents and Children]]</f>
        <v>0</v>
      </c>
      <c r="J701" s="3">
        <v>8.6624999999999996</v>
      </c>
      <c r="K7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1" s="2" t="s">
        <v>396</v>
      </c>
    </row>
    <row r="702" spans="1:12" x14ac:dyDescent="0.25">
      <c r="A702" s="1" t="s">
        <v>1351</v>
      </c>
      <c r="B702" s="1" t="s">
        <v>1348</v>
      </c>
      <c r="C702" s="1" t="s">
        <v>701</v>
      </c>
      <c r="D702" s="1" t="s">
        <v>1321</v>
      </c>
      <c r="E702" s="1">
        <v>17</v>
      </c>
      <c r="F7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02" s="1">
        <v>0</v>
      </c>
      <c r="H702" s="1">
        <v>0</v>
      </c>
      <c r="I702" s="1">
        <f>Tabela1[[#This Row],[Siblings and Spouses]]+Tabela1[[#This Row],[Parents and Children]]</f>
        <v>0</v>
      </c>
      <c r="J702" s="3">
        <v>8.6624999999999996</v>
      </c>
      <c r="K7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2" s="2" t="s">
        <v>396</v>
      </c>
    </row>
    <row r="703" spans="1:12" x14ac:dyDescent="0.25">
      <c r="A703" s="1" t="s">
        <v>1351</v>
      </c>
      <c r="B703" s="1" t="s">
        <v>1348</v>
      </c>
      <c r="C703" s="1" t="s">
        <v>702</v>
      </c>
      <c r="D703" s="1" t="s">
        <v>1321</v>
      </c>
      <c r="E703" s="1">
        <v>17</v>
      </c>
      <c r="F7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03" s="1">
        <v>0</v>
      </c>
      <c r="H703" s="1">
        <v>0</v>
      </c>
      <c r="I703" s="1">
        <f>Tabela1[[#This Row],[Siblings and Spouses]]+Tabela1[[#This Row],[Parents and Children]]</f>
        <v>0</v>
      </c>
      <c r="J703" s="3">
        <v>8.6624999999999996</v>
      </c>
      <c r="K7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3" s="2" t="s">
        <v>396</v>
      </c>
    </row>
    <row r="704" spans="1:12" x14ac:dyDescent="0.25">
      <c r="A704" s="1" t="s">
        <v>1351</v>
      </c>
      <c r="B704" s="1" t="s">
        <v>1348</v>
      </c>
      <c r="C704" s="1" t="s">
        <v>703</v>
      </c>
      <c r="D704" s="1" t="s">
        <v>1320</v>
      </c>
      <c r="E704" s="1">
        <v>21</v>
      </c>
      <c r="F7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04" s="1">
        <v>0</v>
      </c>
      <c r="H704" s="1">
        <v>0</v>
      </c>
      <c r="I704" s="1">
        <f>Tabela1[[#This Row],[Siblings and Spouses]]+Tabela1[[#This Row],[Parents and Children]]</f>
        <v>0</v>
      </c>
      <c r="J704" s="3">
        <v>7.75</v>
      </c>
      <c r="K7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4" s="2" t="s">
        <v>1319</v>
      </c>
    </row>
    <row r="705" spans="1:12" x14ac:dyDescent="0.25">
      <c r="A705" s="1" t="s">
        <v>1351</v>
      </c>
      <c r="B705" s="1" t="s">
        <v>1348</v>
      </c>
      <c r="C705" s="1" t="s">
        <v>704</v>
      </c>
      <c r="D705" s="1" t="s">
        <v>1321</v>
      </c>
      <c r="E705" s="1">
        <v>21</v>
      </c>
      <c r="F7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05" s="1">
        <v>0</v>
      </c>
      <c r="H705" s="1">
        <v>0</v>
      </c>
      <c r="I705" s="1">
        <f>Tabela1[[#This Row],[Siblings and Spouses]]+Tabela1[[#This Row],[Parents and Children]]</f>
        <v>0</v>
      </c>
      <c r="J705" s="3">
        <v>7.75</v>
      </c>
      <c r="K7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5" s="2" t="s">
        <v>1319</v>
      </c>
    </row>
    <row r="706" spans="1:12" x14ac:dyDescent="0.25">
      <c r="A706" s="1" t="s">
        <v>1351</v>
      </c>
      <c r="B706" s="1" t="s">
        <v>1348</v>
      </c>
      <c r="C706" s="1" t="s">
        <v>705</v>
      </c>
      <c r="D706" s="1" t="s">
        <v>1321</v>
      </c>
      <c r="E706" s="1">
        <v>21</v>
      </c>
      <c r="F7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06" s="1">
        <v>0</v>
      </c>
      <c r="H706" s="1">
        <v>0</v>
      </c>
      <c r="I706" s="1">
        <f>Tabela1[[#This Row],[Siblings and Spouses]]+Tabela1[[#This Row],[Parents and Children]]</f>
        <v>0</v>
      </c>
      <c r="J706" s="3">
        <v>8.0500000000000007</v>
      </c>
      <c r="K7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6" s="2" t="s">
        <v>396</v>
      </c>
    </row>
    <row r="707" spans="1:12" x14ac:dyDescent="0.25">
      <c r="A707" s="1" t="s">
        <v>1351</v>
      </c>
      <c r="B707" s="1" t="s">
        <v>1348</v>
      </c>
      <c r="C707" s="1" t="s">
        <v>706</v>
      </c>
      <c r="D707" s="1" t="s">
        <v>1321</v>
      </c>
      <c r="E707" s="1" t="s">
        <v>1323</v>
      </c>
      <c r="F7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07" s="1">
        <v>1</v>
      </c>
      <c r="H707" s="1">
        <v>0</v>
      </c>
      <c r="I707" s="1">
        <f>Tabela1[[#This Row],[Siblings and Spouses]]+Tabela1[[#This Row],[Parents and Children]]</f>
        <v>1</v>
      </c>
      <c r="J707" s="3">
        <v>14.458299999999999</v>
      </c>
      <c r="K7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07" s="2" t="s">
        <v>1318</v>
      </c>
    </row>
    <row r="708" spans="1:12" x14ac:dyDescent="0.25">
      <c r="A708" s="1" t="s">
        <v>1351</v>
      </c>
      <c r="B708" s="1" t="s">
        <v>1348</v>
      </c>
      <c r="C708" s="1" t="s">
        <v>707</v>
      </c>
      <c r="D708" s="1" t="s">
        <v>1320</v>
      </c>
      <c r="E708" s="1" t="s">
        <v>1323</v>
      </c>
      <c r="F7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08" s="1">
        <v>1</v>
      </c>
      <c r="H708" s="1">
        <v>0</v>
      </c>
      <c r="I708" s="1">
        <f>Tabela1[[#This Row],[Siblings and Spouses]]+Tabela1[[#This Row],[Parents and Children]]</f>
        <v>1</v>
      </c>
      <c r="J708" s="3">
        <v>14.458299999999999</v>
      </c>
      <c r="K7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08" s="2" t="s">
        <v>1318</v>
      </c>
    </row>
    <row r="709" spans="1:12" x14ac:dyDescent="0.25">
      <c r="A709" s="1" t="s">
        <v>1351</v>
      </c>
      <c r="B709" s="1" t="s">
        <v>1348</v>
      </c>
      <c r="C709" s="1" t="s">
        <v>708</v>
      </c>
      <c r="D709" s="1" t="s">
        <v>1321</v>
      </c>
      <c r="E709" s="1">
        <v>28</v>
      </c>
      <c r="F7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09" s="1">
        <v>0</v>
      </c>
      <c r="H709" s="1">
        <v>0</v>
      </c>
      <c r="I709" s="1">
        <f>Tabela1[[#This Row],[Siblings and Spouses]]+Tabela1[[#This Row],[Parents and Children]]</f>
        <v>0</v>
      </c>
      <c r="J709" s="3">
        <v>7.7957999999999998</v>
      </c>
      <c r="K7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09" s="2" t="s">
        <v>396</v>
      </c>
    </row>
    <row r="710" spans="1:12" x14ac:dyDescent="0.25">
      <c r="A710" s="1" t="s">
        <v>1351</v>
      </c>
      <c r="B710" s="1" t="s">
        <v>1348</v>
      </c>
      <c r="C710" s="1" t="s">
        <v>709</v>
      </c>
      <c r="D710" s="1" t="s">
        <v>1321</v>
      </c>
      <c r="E710" s="1">
        <v>24</v>
      </c>
      <c r="F7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10" s="1">
        <v>0</v>
      </c>
      <c r="H710" s="1">
        <v>0</v>
      </c>
      <c r="I710" s="1">
        <f>Tabela1[[#This Row],[Siblings and Spouses]]+Tabela1[[#This Row],[Parents and Children]]</f>
        <v>0</v>
      </c>
      <c r="J710" s="3">
        <v>7.8541999999999996</v>
      </c>
      <c r="K7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0" s="2" t="s">
        <v>396</v>
      </c>
    </row>
    <row r="711" spans="1:12" x14ac:dyDescent="0.25">
      <c r="A711" s="1" t="s">
        <v>1351</v>
      </c>
      <c r="B711" s="1" t="s">
        <v>1337</v>
      </c>
      <c r="C711" s="1" t="s">
        <v>710</v>
      </c>
      <c r="D711" s="1" t="s">
        <v>1320</v>
      </c>
      <c r="E711" s="1">
        <v>16</v>
      </c>
      <c r="F7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11" s="1">
        <v>0</v>
      </c>
      <c r="H711" s="1">
        <v>0</v>
      </c>
      <c r="I711" s="1">
        <f>Tabela1[[#This Row],[Siblings and Spouses]]+Tabela1[[#This Row],[Parents and Children]]</f>
        <v>0</v>
      </c>
      <c r="J711" s="3">
        <v>7.75</v>
      </c>
      <c r="K7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1" s="2" t="s">
        <v>1319</v>
      </c>
    </row>
    <row r="712" spans="1:12" x14ac:dyDescent="0.25">
      <c r="A712" s="1" t="s">
        <v>1351</v>
      </c>
      <c r="B712" s="1" t="s">
        <v>1348</v>
      </c>
      <c r="C712" s="1" t="s">
        <v>711</v>
      </c>
      <c r="D712" s="1" t="s">
        <v>1320</v>
      </c>
      <c r="E712" s="1">
        <v>37</v>
      </c>
      <c r="F7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12" s="1">
        <v>0</v>
      </c>
      <c r="H712" s="1">
        <v>0</v>
      </c>
      <c r="I712" s="1">
        <f>Tabela1[[#This Row],[Siblings and Spouses]]+Tabela1[[#This Row],[Parents and Children]]</f>
        <v>0</v>
      </c>
      <c r="J712" s="3">
        <v>7.75</v>
      </c>
      <c r="K7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2" s="2" t="s">
        <v>1319</v>
      </c>
    </row>
    <row r="713" spans="1:12" x14ac:dyDescent="0.25">
      <c r="A713" s="1" t="s">
        <v>1351</v>
      </c>
      <c r="B713" s="1" t="s">
        <v>1348</v>
      </c>
      <c r="C713" s="1" t="s">
        <v>712</v>
      </c>
      <c r="D713" s="1" t="s">
        <v>1321</v>
      </c>
      <c r="E713" s="1">
        <v>28</v>
      </c>
      <c r="F7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13" s="1">
        <v>0</v>
      </c>
      <c r="H713" s="1">
        <v>0</v>
      </c>
      <c r="I713" s="1">
        <f>Tabela1[[#This Row],[Siblings and Spouses]]+Tabela1[[#This Row],[Parents and Children]]</f>
        <v>0</v>
      </c>
      <c r="J713" s="3">
        <v>7.25</v>
      </c>
      <c r="K7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3" s="2" t="s">
        <v>396</v>
      </c>
    </row>
    <row r="714" spans="1:12" x14ac:dyDescent="0.25">
      <c r="A714" s="1" t="s">
        <v>1351</v>
      </c>
      <c r="B714" s="1" t="s">
        <v>1348</v>
      </c>
      <c r="C714" s="1" t="s">
        <v>713</v>
      </c>
      <c r="D714" s="1" t="s">
        <v>1321</v>
      </c>
      <c r="E714" s="1">
        <v>24</v>
      </c>
      <c r="F7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14" s="1">
        <v>0</v>
      </c>
      <c r="H714" s="1">
        <v>0</v>
      </c>
      <c r="I714" s="1">
        <f>Tabela1[[#This Row],[Siblings and Spouses]]+Tabela1[[#This Row],[Parents and Children]]</f>
        <v>0</v>
      </c>
      <c r="J714" s="3">
        <v>8.0500000000000007</v>
      </c>
      <c r="K7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4" s="2" t="s">
        <v>396</v>
      </c>
    </row>
    <row r="715" spans="1:12" x14ac:dyDescent="0.25">
      <c r="A715" s="1" t="s">
        <v>1351</v>
      </c>
      <c r="B715" s="1" t="s">
        <v>1348</v>
      </c>
      <c r="C715" s="1" t="s">
        <v>714</v>
      </c>
      <c r="D715" s="1" t="s">
        <v>1321</v>
      </c>
      <c r="E715" s="1">
        <v>21</v>
      </c>
      <c r="F7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15" s="1">
        <v>0</v>
      </c>
      <c r="H715" s="1">
        <v>0</v>
      </c>
      <c r="I715" s="1">
        <f>Tabela1[[#This Row],[Siblings and Spouses]]+Tabela1[[#This Row],[Parents and Children]]</f>
        <v>0</v>
      </c>
      <c r="J715" s="3">
        <v>7.7332999999999998</v>
      </c>
      <c r="K7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5" s="2" t="s">
        <v>1319</v>
      </c>
    </row>
    <row r="716" spans="1:12" x14ac:dyDescent="0.25">
      <c r="A716" s="1" t="s">
        <v>1351</v>
      </c>
      <c r="B716" s="1" t="s">
        <v>1337</v>
      </c>
      <c r="C716" s="1" t="s">
        <v>715</v>
      </c>
      <c r="D716" s="1" t="s">
        <v>1321</v>
      </c>
      <c r="E716" s="1">
        <v>32</v>
      </c>
      <c r="F7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16" s="1">
        <v>0</v>
      </c>
      <c r="H716" s="1">
        <v>0</v>
      </c>
      <c r="I716" s="1">
        <f>Tabela1[[#This Row],[Siblings and Spouses]]+Tabela1[[#This Row],[Parents and Children]]</f>
        <v>0</v>
      </c>
      <c r="J716" s="3">
        <v>56.495800000000003</v>
      </c>
      <c r="K7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716" s="2" t="s">
        <v>396</v>
      </c>
    </row>
    <row r="717" spans="1:12" x14ac:dyDescent="0.25">
      <c r="A717" s="1" t="s">
        <v>1351</v>
      </c>
      <c r="B717" s="1" t="s">
        <v>1348</v>
      </c>
      <c r="C717" s="1" t="s">
        <v>716</v>
      </c>
      <c r="D717" s="1" t="s">
        <v>1321</v>
      </c>
      <c r="E717" s="1">
        <v>29</v>
      </c>
      <c r="F7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17" s="1">
        <v>0</v>
      </c>
      <c r="H717" s="1">
        <v>0</v>
      </c>
      <c r="I717" s="1">
        <f>Tabela1[[#This Row],[Siblings and Spouses]]+Tabela1[[#This Row],[Parents and Children]]</f>
        <v>0</v>
      </c>
      <c r="J717" s="3">
        <v>8.0500000000000007</v>
      </c>
      <c r="K7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17" s="2" t="s">
        <v>396</v>
      </c>
    </row>
    <row r="718" spans="1:12" x14ac:dyDescent="0.25">
      <c r="A718" s="1" t="s">
        <v>1351</v>
      </c>
      <c r="B718" s="1" t="s">
        <v>1348</v>
      </c>
      <c r="C718" s="1" t="s">
        <v>717</v>
      </c>
      <c r="D718" s="1" t="s">
        <v>1321</v>
      </c>
      <c r="E718" s="1">
        <v>26</v>
      </c>
      <c r="F7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18" s="1">
        <v>1</v>
      </c>
      <c r="H718" s="1">
        <v>0</v>
      </c>
      <c r="I718" s="1">
        <f>Tabela1[[#This Row],[Siblings and Spouses]]+Tabela1[[#This Row],[Parents and Children]]</f>
        <v>1</v>
      </c>
      <c r="J718" s="3">
        <v>14.4542</v>
      </c>
      <c r="K7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18" s="2" t="s">
        <v>1318</v>
      </c>
    </row>
    <row r="719" spans="1:12" x14ac:dyDescent="0.25">
      <c r="A719" s="1" t="s">
        <v>1351</v>
      </c>
      <c r="B719" s="1" t="s">
        <v>1348</v>
      </c>
      <c r="C719" s="1" t="s">
        <v>718</v>
      </c>
      <c r="D719" s="1" t="s">
        <v>1321</v>
      </c>
      <c r="E719" s="1">
        <v>18</v>
      </c>
      <c r="F7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19" s="1">
        <v>1</v>
      </c>
      <c r="H719" s="1">
        <v>0</v>
      </c>
      <c r="I719" s="1">
        <f>Tabela1[[#This Row],[Siblings and Spouses]]+Tabela1[[#This Row],[Parents and Children]]</f>
        <v>1</v>
      </c>
      <c r="J719" s="3">
        <v>14.4542</v>
      </c>
      <c r="K7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19" s="2" t="s">
        <v>1318</v>
      </c>
    </row>
    <row r="720" spans="1:12" x14ac:dyDescent="0.25">
      <c r="A720" s="1" t="s">
        <v>1351</v>
      </c>
      <c r="B720" s="1" t="s">
        <v>1348</v>
      </c>
      <c r="C720" s="1" t="s">
        <v>719</v>
      </c>
      <c r="D720" s="1" t="s">
        <v>1321</v>
      </c>
      <c r="E720" s="1">
        <v>20</v>
      </c>
      <c r="F7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20" s="1">
        <v>0</v>
      </c>
      <c r="H720" s="1">
        <v>0</v>
      </c>
      <c r="I720" s="1">
        <f>Tabela1[[#This Row],[Siblings and Spouses]]+Tabela1[[#This Row],[Parents and Children]]</f>
        <v>0</v>
      </c>
      <c r="J720" s="3">
        <v>7.05</v>
      </c>
      <c r="K7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0" s="2" t="s">
        <v>396</v>
      </c>
    </row>
    <row r="721" spans="1:12" x14ac:dyDescent="0.25">
      <c r="A721" s="1" t="s">
        <v>1351</v>
      </c>
      <c r="B721" s="1" t="s">
        <v>1337</v>
      </c>
      <c r="C721" s="1" t="s">
        <v>720</v>
      </c>
      <c r="D721" s="1" t="s">
        <v>1321</v>
      </c>
      <c r="E721" s="1">
        <v>18</v>
      </c>
      <c r="F7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21" s="1">
        <v>0</v>
      </c>
      <c r="H721" s="1">
        <v>0</v>
      </c>
      <c r="I721" s="1">
        <f>Tabela1[[#This Row],[Siblings and Spouses]]+Tabela1[[#This Row],[Parents and Children]]</f>
        <v>0</v>
      </c>
      <c r="J721" s="3">
        <v>8.0500000000000007</v>
      </c>
      <c r="K7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1" s="2" t="s">
        <v>396</v>
      </c>
    </row>
    <row r="722" spans="1:12" x14ac:dyDescent="0.25">
      <c r="A722" s="1" t="s">
        <v>1351</v>
      </c>
      <c r="B722" s="1" t="s">
        <v>1348</v>
      </c>
      <c r="C722" s="1" t="s">
        <v>721</v>
      </c>
      <c r="D722" s="1" t="s">
        <v>1321</v>
      </c>
      <c r="E722" s="1">
        <v>24</v>
      </c>
      <c r="F7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22" s="1">
        <v>0</v>
      </c>
      <c r="H722" s="1">
        <v>0</v>
      </c>
      <c r="I722" s="1">
        <f>Tabela1[[#This Row],[Siblings and Spouses]]+Tabela1[[#This Row],[Parents and Children]]</f>
        <v>0</v>
      </c>
      <c r="J722" s="3">
        <v>7.25</v>
      </c>
      <c r="K7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2" s="2" t="s">
        <v>1319</v>
      </c>
    </row>
    <row r="723" spans="1:12" x14ac:dyDescent="0.25">
      <c r="A723" s="1" t="s">
        <v>1351</v>
      </c>
      <c r="B723" s="1" t="s">
        <v>1348</v>
      </c>
      <c r="C723" s="1" t="s">
        <v>722</v>
      </c>
      <c r="D723" s="1" t="s">
        <v>1321</v>
      </c>
      <c r="E723" s="1">
        <v>36</v>
      </c>
      <c r="F7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23" s="1">
        <v>0</v>
      </c>
      <c r="H723" s="1">
        <v>0</v>
      </c>
      <c r="I723" s="1">
        <f>Tabela1[[#This Row],[Siblings and Spouses]]+Tabela1[[#This Row],[Parents and Children]]</f>
        <v>0</v>
      </c>
      <c r="J723" s="3">
        <v>7.4958</v>
      </c>
      <c r="K7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3" s="2" t="s">
        <v>396</v>
      </c>
    </row>
    <row r="724" spans="1:12" x14ac:dyDescent="0.25">
      <c r="A724" s="1" t="s">
        <v>1351</v>
      </c>
      <c r="B724" s="1" t="s">
        <v>1348</v>
      </c>
      <c r="C724" s="1" t="s">
        <v>723</v>
      </c>
      <c r="D724" s="1" t="s">
        <v>1321</v>
      </c>
      <c r="E724" s="1">
        <v>24</v>
      </c>
      <c r="F7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24" s="1">
        <v>0</v>
      </c>
      <c r="H724" s="1">
        <v>0</v>
      </c>
      <c r="I724" s="1">
        <f>Tabela1[[#This Row],[Siblings and Spouses]]+Tabela1[[#This Row],[Parents and Children]]</f>
        <v>0</v>
      </c>
      <c r="J724" s="3">
        <v>7.4958</v>
      </c>
      <c r="K7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4" s="2" t="s">
        <v>396</v>
      </c>
    </row>
    <row r="725" spans="1:12" x14ac:dyDescent="0.25">
      <c r="A725" s="1" t="s">
        <v>1351</v>
      </c>
      <c r="B725" s="1" t="s">
        <v>1348</v>
      </c>
      <c r="C725" s="1" t="s">
        <v>724</v>
      </c>
      <c r="D725" s="1" t="s">
        <v>1321</v>
      </c>
      <c r="E725" s="1">
        <v>31</v>
      </c>
      <c r="F7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25" s="1">
        <v>0</v>
      </c>
      <c r="H725" s="1">
        <v>0</v>
      </c>
      <c r="I725" s="1">
        <f>Tabela1[[#This Row],[Siblings and Spouses]]+Tabela1[[#This Row],[Parents and Children]]</f>
        <v>0</v>
      </c>
      <c r="J725" s="3">
        <v>7.7332999999999998</v>
      </c>
      <c r="K7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5" s="2" t="s">
        <v>1319</v>
      </c>
    </row>
    <row r="726" spans="1:12" x14ac:dyDescent="0.25">
      <c r="A726" s="1" t="s">
        <v>1351</v>
      </c>
      <c r="B726" s="1" t="s">
        <v>1348</v>
      </c>
      <c r="C726" s="1" t="s">
        <v>725</v>
      </c>
      <c r="D726" s="1" t="s">
        <v>1321</v>
      </c>
      <c r="E726" s="1">
        <v>31</v>
      </c>
      <c r="F7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26" s="1">
        <v>0</v>
      </c>
      <c r="H726" s="1">
        <v>0</v>
      </c>
      <c r="I726" s="1">
        <f>Tabela1[[#This Row],[Siblings and Spouses]]+Tabela1[[#This Row],[Parents and Children]]</f>
        <v>0</v>
      </c>
      <c r="J726" s="3">
        <v>7.75</v>
      </c>
      <c r="K7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6" s="2" t="s">
        <v>1319</v>
      </c>
    </row>
    <row r="727" spans="1:12" x14ac:dyDescent="0.25">
      <c r="A727" s="1" t="s">
        <v>1351</v>
      </c>
      <c r="B727" s="1" t="s">
        <v>1337</v>
      </c>
      <c r="C727" s="1" t="s">
        <v>726</v>
      </c>
      <c r="D727" s="1" t="s">
        <v>1320</v>
      </c>
      <c r="E727" s="1">
        <v>22</v>
      </c>
      <c r="F7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27" s="1">
        <v>0</v>
      </c>
      <c r="H727" s="1">
        <v>0</v>
      </c>
      <c r="I727" s="1">
        <f>Tabela1[[#This Row],[Siblings and Spouses]]+Tabela1[[#This Row],[Parents and Children]]</f>
        <v>0</v>
      </c>
      <c r="J727" s="3">
        <v>7.75</v>
      </c>
      <c r="K7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7" s="2" t="s">
        <v>1319</v>
      </c>
    </row>
    <row r="728" spans="1:12" x14ac:dyDescent="0.25">
      <c r="A728" s="1" t="s">
        <v>1351</v>
      </c>
      <c r="B728" s="1" t="s">
        <v>1348</v>
      </c>
      <c r="C728" s="1" t="s">
        <v>726</v>
      </c>
      <c r="D728" s="1" t="s">
        <v>1320</v>
      </c>
      <c r="E728" s="1">
        <v>30</v>
      </c>
      <c r="F7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28" s="1">
        <v>0</v>
      </c>
      <c r="H728" s="1">
        <v>0</v>
      </c>
      <c r="I728" s="1">
        <f>Tabela1[[#This Row],[Siblings and Spouses]]+Tabela1[[#This Row],[Parents and Children]]</f>
        <v>0</v>
      </c>
      <c r="J728" s="3">
        <v>7.6292</v>
      </c>
      <c r="K7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8" s="2" t="s">
        <v>1319</v>
      </c>
    </row>
    <row r="729" spans="1:12" x14ac:dyDescent="0.25">
      <c r="A729" s="1" t="s">
        <v>1351</v>
      </c>
      <c r="B729" s="1" t="s">
        <v>1348</v>
      </c>
      <c r="C729" s="1" t="s">
        <v>727</v>
      </c>
      <c r="D729" s="1" t="s">
        <v>1321</v>
      </c>
      <c r="E729" s="1">
        <v>70.5</v>
      </c>
      <c r="F7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729" s="1">
        <v>0</v>
      </c>
      <c r="H729" s="1">
        <v>0</v>
      </c>
      <c r="I729" s="1">
        <f>Tabela1[[#This Row],[Siblings and Spouses]]+Tabela1[[#This Row],[Parents and Children]]</f>
        <v>0</v>
      </c>
      <c r="J729" s="3">
        <v>7.75</v>
      </c>
      <c r="K7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29" s="2" t="s">
        <v>1319</v>
      </c>
    </row>
    <row r="730" spans="1:12" x14ac:dyDescent="0.25">
      <c r="A730" s="1" t="s">
        <v>1351</v>
      </c>
      <c r="B730" s="1" t="s">
        <v>1348</v>
      </c>
      <c r="C730" s="1" t="s">
        <v>728</v>
      </c>
      <c r="D730" s="1" t="s">
        <v>1321</v>
      </c>
      <c r="E730" s="1">
        <v>43</v>
      </c>
      <c r="F7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30" s="1">
        <v>0</v>
      </c>
      <c r="H730" s="1">
        <v>0</v>
      </c>
      <c r="I730" s="1">
        <f>Tabela1[[#This Row],[Siblings and Spouses]]+Tabela1[[#This Row],[Parents and Children]]</f>
        <v>0</v>
      </c>
      <c r="J730" s="3">
        <v>8.0500000000000007</v>
      </c>
      <c r="K7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0" s="2" t="s">
        <v>396</v>
      </c>
    </row>
    <row r="731" spans="1:12" x14ac:dyDescent="0.25">
      <c r="A731" s="1" t="s">
        <v>1351</v>
      </c>
      <c r="B731" s="1" t="s">
        <v>1348</v>
      </c>
      <c r="C731" s="1" t="s">
        <v>729</v>
      </c>
      <c r="D731" s="1" t="s">
        <v>1321</v>
      </c>
      <c r="E731" s="1">
        <v>35</v>
      </c>
      <c r="F7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31" s="1">
        <v>0</v>
      </c>
      <c r="H731" s="1">
        <v>0</v>
      </c>
      <c r="I731" s="1">
        <f>Tabela1[[#This Row],[Siblings and Spouses]]+Tabela1[[#This Row],[Parents and Children]]</f>
        <v>0</v>
      </c>
      <c r="J731" s="3">
        <v>7.8958000000000004</v>
      </c>
      <c r="K7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1" s="2" t="s">
        <v>396</v>
      </c>
    </row>
    <row r="732" spans="1:12" x14ac:dyDescent="0.25">
      <c r="A732" s="1" t="s">
        <v>1351</v>
      </c>
      <c r="B732" s="1" t="s">
        <v>1348</v>
      </c>
      <c r="C732" s="1" t="s">
        <v>730</v>
      </c>
      <c r="D732" s="1" t="s">
        <v>1321</v>
      </c>
      <c r="E732" s="1">
        <v>27</v>
      </c>
      <c r="F7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32" s="1">
        <v>0</v>
      </c>
      <c r="H732" s="1">
        <v>0</v>
      </c>
      <c r="I732" s="1">
        <f>Tabela1[[#This Row],[Siblings and Spouses]]+Tabela1[[#This Row],[Parents and Children]]</f>
        <v>0</v>
      </c>
      <c r="J732" s="3">
        <v>7.8958000000000004</v>
      </c>
      <c r="K7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2" s="2" t="s">
        <v>396</v>
      </c>
    </row>
    <row r="733" spans="1:12" x14ac:dyDescent="0.25">
      <c r="A733" s="1" t="s">
        <v>1351</v>
      </c>
      <c r="B733" s="1" t="s">
        <v>1348</v>
      </c>
      <c r="C733" s="1" t="s">
        <v>731</v>
      </c>
      <c r="D733" s="1" t="s">
        <v>1321</v>
      </c>
      <c r="E733" s="1">
        <v>19</v>
      </c>
      <c r="F7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33" s="1">
        <v>0</v>
      </c>
      <c r="H733" s="1">
        <v>0</v>
      </c>
      <c r="I733" s="1">
        <f>Tabela1[[#This Row],[Siblings and Spouses]]+Tabela1[[#This Row],[Parents and Children]]</f>
        <v>0</v>
      </c>
      <c r="J733" s="3">
        <v>7.8958000000000004</v>
      </c>
      <c r="K7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3" s="2" t="s">
        <v>396</v>
      </c>
    </row>
    <row r="734" spans="1:12" x14ac:dyDescent="0.25">
      <c r="A734" s="1" t="s">
        <v>1351</v>
      </c>
      <c r="B734" s="1" t="s">
        <v>1348</v>
      </c>
      <c r="C734" s="1" t="s">
        <v>732</v>
      </c>
      <c r="D734" s="1" t="s">
        <v>1321</v>
      </c>
      <c r="E734" s="1">
        <v>30</v>
      </c>
      <c r="F7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34" s="1">
        <v>0</v>
      </c>
      <c r="H734" s="1">
        <v>0</v>
      </c>
      <c r="I734" s="1">
        <f>Tabela1[[#This Row],[Siblings and Spouses]]+Tabela1[[#This Row],[Parents and Children]]</f>
        <v>0</v>
      </c>
      <c r="J734" s="3">
        <v>8.0500000000000007</v>
      </c>
      <c r="K7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4" s="2" t="s">
        <v>396</v>
      </c>
    </row>
    <row r="735" spans="1:12" x14ac:dyDescent="0.25">
      <c r="A735" s="1" t="s">
        <v>1351</v>
      </c>
      <c r="B735" s="1" t="s">
        <v>1337</v>
      </c>
      <c r="C735" s="1" t="s">
        <v>733</v>
      </c>
      <c r="D735" s="1" t="s">
        <v>1321</v>
      </c>
      <c r="E735" s="1">
        <v>9</v>
      </c>
      <c r="F7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35" s="1">
        <v>1</v>
      </c>
      <c r="H735" s="1">
        <v>1</v>
      </c>
      <c r="I735" s="1">
        <f>Tabela1[[#This Row],[Siblings and Spouses]]+Tabela1[[#This Row],[Parents and Children]]</f>
        <v>2</v>
      </c>
      <c r="J735" s="3">
        <v>15.9</v>
      </c>
      <c r="K7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35" s="2" t="s">
        <v>396</v>
      </c>
    </row>
    <row r="736" spans="1:12" x14ac:dyDescent="0.25">
      <c r="A736" s="1" t="s">
        <v>1351</v>
      </c>
      <c r="B736" s="1" t="s">
        <v>1337</v>
      </c>
      <c r="C736" s="1" t="s">
        <v>734</v>
      </c>
      <c r="D736" s="1" t="s">
        <v>1321</v>
      </c>
      <c r="E736" s="1">
        <v>3</v>
      </c>
      <c r="F7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36" s="1">
        <v>1</v>
      </c>
      <c r="H736" s="1">
        <v>1</v>
      </c>
      <c r="I736" s="1">
        <f>Tabela1[[#This Row],[Siblings and Spouses]]+Tabela1[[#This Row],[Parents and Children]]</f>
        <v>2</v>
      </c>
      <c r="J736" s="3">
        <v>15.9</v>
      </c>
      <c r="K7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36" s="2" t="s">
        <v>396</v>
      </c>
    </row>
    <row r="737" spans="1:12" x14ac:dyDescent="0.25">
      <c r="A737" s="1" t="s">
        <v>1351</v>
      </c>
      <c r="B737" s="1" t="s">
        <v>1337</v>
      </c>
      <c r="C737" s="1" t="s">
        <v>735</v>
      </c>
      <c r="D737" s="1" t="s">
        <v>1320</v>
      </c>
      <c r="E737" s="1">
        <v>36</v>
      </c>
      <c r="F7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37" s="1">
        <v>0</v>
      </c>
      <c r="H737" s="1">
        <v>2</v>
      </c>
      <c r="I737" s="1">
        <f>Tabela1[[#This Row],[Siblings and Spouses]]+Tabela1[[#This Row],[Parents and Children]]</f>
        <v>2</v>
      </c>
      <c r="J737" s="3">
        <v>15.9</v>
      </c>
      <c r="K7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37" s="2" t="s">
        <v>396</v>
      </c>
    </row>
    <row r="738" spans="1:12" x14ac:dyDescent="0.25">
      <c r="A738" s="1" t="s">
        <v>1351</v>
      </c>
      <c r="B738" s="1" t="s">
        <v>1348</v>
      </c>
      <c r="C738" s="1" t="s">
        <v>736</v>
      </c>
      <c r="D738" s="1" t="s">
        <v>1321</v>
      </c>
      <c r="E738" s="1">
        <v>59</v>
      </c>
      <c r="F7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738" s="1">
        <v>0</v>
      </c>
      <c r="H738" s="1">
        <v>0</v>
      </c>
      <c r="I738" s="1">
        <f>Tabela1[[#This Row],[Siblings and Spouses]]+Tabela1[[#This Row],[Parents and Children]]</f>
        <v>0</v>
      </c>
      <c r="J738" s="3">
        <v>7.25</v>
      </c>
      <c r="K7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8" s="2" t="s">
        <v>396</v>
      </c>
    </row>
    <row r="739" spans="1:12" x14ac:dyDescent="0.25">
      <c r="A739" s="1" t="s">
        <v>1351</v>
      </c>
      <c r="B739" s="1" t="s">
        <v>1348</v>
      </c>
      <c r="C739" s="1" t="s">
        <v>737</v>
      </c>
      <c r="D739" s="1" t="s">
        <v>1321</v>
      </c>
      <c r="E739" s="1">
        <v>19</v>
      </c>
      <c r="F7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39" s="1">
        <v>0</v>
      </c>
      <c r="H739" s="1">
        <v>0</v>
      </c>
      <c r="I739" s="1">
        <f>Tabela1[[#This Row],[Siblings and Spouses]]+Tabela1[[#This Row],[Parents and Children]]</f>
        <v>0</v>
      </c>
      <c r="J739" s="3">
        <v>8.1583000000000006</v>
      </c>
      <c r="K7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39" s="2" t="s">
        <v>396</v>
      </c>
    </row>
    <row r="740" spans="1:12" x14ac:dyDescent="0.25">
      <c r="A740" s="1" t="s">
        <v>1351</v>
      </c>
      <c r="B740" s="1" t="s">
        <v>1337</v>
      </c>
      <c r="C740" s="1" t="s">
        <v>738</v>
      </c>
      <c r="D740" s="1" t="s">
        <v>1320</v>
      </c>
      <c r="E740" s="1">
        <v>17</v>
      </c>
      <c r="F7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40" s="1">
        <v>0</v>
      </c>
      <c r="H740" s="1">
        <v>1</v>
      </c>
      <c r="I740" s="1">
        <f>Tabela1[[#This Row],[Siblings and Spouses]]+Tabela1[[#This Row],[Parents and Children]]</f>
        <v>1</v>
      </c>
      <c r="J740" s="3">
        <v>16.100000000000001</v>
      </c>
      <c r="K7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40" s="2" t="s">
        <v>396</v>
      </c>
    </row>
    <row r="741" spans="1:12" x14ac:dyDescent="0.25">
      <c r="A741" s="1" t="s">
        <v>1351</v>
      </c>
      <c r="B741" s="1" t="s">
        <v>1348</v>
      </c>
      <c r="C741" s="1" t="s">
        <v>739</v>
      </c>
      <c r="D741" s="1" t="s">
        <v>1321</v>
      </c>
      <c r="E741" s="1">
        <v>44</v>
      </c>
      <c r="F7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41" s="1">
        <v>0</v>
      </c>
      <c r="H741" s="1">
        <v>1</v>
      </c>
      <c r="I741" s="1">
        <f>Tabela1[[#This Row],[Siblings and Spouses]]+Tabela1[[#This Row],[Parents and Children]]</f>
        <v>1</v>
      </c>
      <c r="J741" s="3">
        <v>16.100000000000001</v>
      </c>
      <c r="K7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41" s="2" t="s">
        <v>396</v>
      </c>
    </row>
    <row r="742" spans="1:12" x14ac:dyDescent="0.25">
      <c r="A742" s="1" t="s">
        <v>1351</v>
      </c>
      <c r="B742" s="1" t="s">
        <v>1348</v>
      </c>
      <c r="C742" s="1" t="s">
        <v>740</v>
      </c>
      <c r="D742" s="1" t="s">
        <v>1321</v>
      </c>
      <c r="E742" s="1">
        <v>17</v>
      </c>
      <c r="F7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42" s="1">
        <v>0</v>
      </c>
      <c r="H742" s="1">
        <v>0</v>
      </c>
      <c r="I742" s="1">
        <f>Tabela1[[#This Row],[Siblings and Spouses]]+Tabela1[[#This Row],[Parents and Children]]</f>
        <v>0</v>
      </c>
      <c r="J742" s="3">
        <v>8.6624999999999996</v>
      </c>
      <c r="K7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42" s="2" t="s">
        <v>396</v>
      </c>
    </row>
    <row r="743" spans="1:12" x14ac:dyDescent="0.25">
      <c r="A743" s="1" t="s">
        <v>1351</v>
      </c>
      <c r="B743" s="1" t="s">
        <v>1348</v>
      </c>
      <c r="C743" s="1" t="s">
        <v>741</v>
      </c>
      <c r="D743" s="1" t="s">
        <v>1321</v>
      </c>
      <c r="E743" s="1">
        <v>22.5</v>
      </c>
      <c r="F7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43" s="1">
        <v>0</v>
      </c>
      <c r="H743" s="1">
        <v>0</v>
      </c>
      <c r="I743" s="1">
        <f>Tabela1[[#This Row],[Siblings and Spouses]]+Tabela1[[#This Row],[Parents and Children]]</f>
        <v>0</v>
      </c>
      <c r="J743" s="3">
        <v>7.2249999999999996</v>
      </c>
      <c r="K7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43" s="2" t="s">
        <v>1318</v>
      </c>
    </row>
    <row r="744" spans="1:12" x14ac:dyDescent="0.25">
      <c r="A744" s="1" t="s">
        <v>1351</v>
      </c>
      <c r="B744" s="1" t="s">
        <v>1337</v>
      </c>
      <c r="C744" s="1" t="s">
        <v>742</v>
      </c>
      <c r="D744" s="1" t="s">
        <v>1321</v>
      </c>
      <c r="E744" s="1">
        <v>45</v>
      </c>
      <c r="F7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44" s="1">
        <v>0</v>
      </c>
      <c r="H744" s="1">
        <v>0</v>
      </c>
      <c r="I744" s="1">
        <f>Tabela1[[#This Row],[Siblings and Spouses]]+Tabela1[[#This Row],[Parents and Children]]</f>
        <v>0</v>
      </c>
      <c r="J744" s="3">
        <v>8.0500000000000007</v>
      </c>
      <c r="K7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44" s="2" t="s">
        <v>396</v>
      </c>
    </row>
    <row r="745" spans="1:12" x14ac:dyDescent="0.25">
      <c r="A745" s="1" t="s">
        <v>1351</v>
      </c>
      <c r="B745" s="1" t="s">
        <v>1348</v>
      </c>
      <c r="C745" s="1" t="s">
        <v>743</v>
      </c>
      <c r="D745" s="1" t="s">
        <v>1320</v>
      </c>
      <c r="E745" s="1">
        <v>22</v>
      </c>
      <c r="F7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45" s="1">
        <v>0</v>
      </c>
      <c r="H745" s="1">
        <v>0</v>
      </c>
      <c r="I745" s="1">
        <f>Tabela1[[#This Row],[Siblings and Spouses]]+Tabela1[[#This Row],[Parents and Children]]</f>
        <v>0</v>
      </c>
      <c r="J745" s="3">
        <v>10.5167</v>
      </c>
      <c r="K7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45" s="2" t="s">
        <v>396</v>
      </c>
    </row>
    <row r="746" spans="1:12" x14ac:dyDescent="0.25">
      <c r="A746" s="1" t="s">
        <v>1351</v>
      </c>
      <c r="B746" s="1" t="s">
        <v>1348</v>
      </c>
      <c r="C746" s="1" t="s">
        <v>744</v>
      </c>
      <c r="D746" s="1" t="s">
        <v>1321</v>
      </c>
      <c r="E746" s="1">
        <v>19</v>
      </c>
      <c r="F7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46" s="1">
        <v>0</v>
      </c>
      <c r="H746" s="1">
        <v>0</v>
      </c>
      <c r="I746" s="1">
        <f>Tabela1[[#This Row],[Siblings and Spouses]]+Tabela1[[#This Row],[Parents and Children]]</f>
        <v>0</v>
      </c>
      <c r="J746" s="3">
        <v>10.1708</v>
      </c>
      <c r="K7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46" s="2" t="s">
        <v>396</v>
      </c>
    </row>
    <row r="747" spans="1:12" x14ac:dyDescent="0.25">
      <c r="A747" s="1" t="s">
        <v>1351</v>
      </c>
      <c r="B747" s="1" t="s">
        <v>1337</v>
      </c>
      <c r="C747" s="1" t="s">
        <v>745</v>
      </c>
      <c r="D747" s="1" t="s">
        <v>1320</v>
      </c>
      <c r="E747" s="1">
        <v>30</v>
      </c>
      <c r="F7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47" s="1">
        <v>0</v>
      </c>
      <c r="H747" s="1">
        <v>0</v>
      </c>
      <c r="I747" s="1">
        <f>Tabela1[[#This Row],[Siblings and Spouses]]+Tabela1[[#This Row],[Parents and Children]]</f>
        <v>0</v>
      </c>
      <c r="J747" s="3">
        <v>6.95</v>
      </c>
      <c r="K7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47" s="2" t="s">
        <v>1319</v>
      </c>
    </row>
    <row r="748" spans="1:12" x14ac:dyDescent="0.25">
      <c r="A748" s="1" t="s">
        <v>1351</v>
      </c>
      <c r="B748" s="1" t="s">
        <v>1337</v>
      </c>
      <c r="C748" s="1" t="s">
        <v>746</v>
      </c>
      <c r="D748" s="1" t="s">
        <v>1321</v>
      </c>
      <c r="E748" s="1">
        <v>29</v>
      </c>
      <c r="F7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48" s="1">
        <v>0</v>
      </c>
      <c r="H748" s="1">
        <v>0</v>
      </c>
      <c r="I748" s="1">
        <f>Tabela1[[#This Row],[Siblings and Spouses]]+Tabela1[[#This Row],[Parents and Children]]</f>
        <v>0</v>
      </c>
      <c r="J748" s="3">
        <v>7.75</v>
      </c>
      <c r="K7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48" s="2" t="s">
        <v>1319</v>
      </c>
    </row>
    <row r="749" spans="1:12" x14ac:dyDescent="0.25">
      <c r="A749" s="1" t="s">
        <v>1351</v>
      </c>
      <c r="B749" s="1" t="s">
        <v>1348</v>
      </c>
      <c r="C749" s="1" t="s">
        <v>747</v>
      </c>
      <c r="D749" s="1" t="s">
        <v>1321</v>
      </c>
      <c r="E749" s="1">
        <v>0.33329999999999999</v>
      </c>
      <c r="F7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49" s="1">
        <v>0</v>
      </c>
      <c r="H749" s="1">
        <v>2</v>
      </c>
      <c r="I749" s="1">
        <f>Tabela1[[#This Row],[Siblings and Spouses]]+Tabela1[[#This Row],[Parents and Children]]</f>
        <v>2</v>
      </c>
      <c r="J749" s="3">
        <v>14.4</v>
      </c>
      <c r="K7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49" s="2" t="s">
        <v>396</v>
      </c>
    </row>
    <row r="750" spans="1:12" x14ac:dyDescent="0.25">
      <c r="A750" s="1" t="s">
        <v>1351</v>
      </c>
      <c r="B750" s="1" t="s">
        <v>1348</v>
      </c>
      <c r="C750" s="1" t="s">
        <v>748</v>
      </c>
      <c r="D750" s="1" t="s">
        <v>1321</v>
      </c>
      <c r="E750" s="1">
        <v>34</v>
      </c>
      <c r="F7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50" s="1">
        <v>1</v>
      </c>
      <c r="H750" s="1">
        <v>1</v>
      </c>
      <c r="I750" s="1">
        <f>Tabela1[[#This Row],[Siblings and Spouses]]+Tabela1[[#This Row],[Parents and Children]]</f>
        <v>2</v>
      </c>
      <c r="J750" s="3">
        <v>14.4</v>
      </c>
      <c r="K7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50" s="2" t="s">
        <v>396</v>
      </c>
    </row>
    <row r="751" spans="1:12" x14ac:dyDescent="0.25">
      <c r="A751" s="1" t="s">
        <v>1351</v>
      </c>
      <c r="B751" s="1" t="s">
        <v>1348</v>
      </c>
      <c r="C751" s="1" t="s">
        <v>749</v>
      </c>
      <c r="D751" s="1" t="s">
        <v>1320</v>
      </c>
      <c r="E751" s="1">
        <v>28</v>
      </c>
      <c r="F7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1" s="1">
        <v>1</v>
      </c>
      <c r="H751" s="1">
        <v>1</v>
      </c>
      <c r="I751" s="1">
        <f>Tabela1[[#This Row],[Siblings and Spouses]]+Tabela1[[#This Row],[Parents and Children]]</f>
        <v>2</v>
      </c>
      <c r="J751" s="3">
        <v>14.4</v>
      </c>
      <c r="K7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51" s="2" t="s">
        <v>396</v>
      </c>
    </row>
    <row r="752" spans="1:12" x14ac:dyDescent="0.25">
      <c r="A752" s="1" t="s">
        <v>1351</v>
      </c>
      <c r="B752" s="1" t="s">
        <v>1348</v>
      </c>
      <c r="C752" s="1" t="s">
        <v>750</v>
      </c>
      <c r="D752" s="1" t="s">
        <v>1321</v>
      </c>
      <c r="E752" s="1">
        <v>27</v>
      </c>
      <c r="F7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2" s="1">
        <v>0</v>
      </c>
      <c r="H752" s="1">
        <v>0</v>
      </c>
      <c r="I752" s="1">
        <f>Tabela1[[#This Row],[Siblings and Spouses]]+Tabela1[[#This Row],[Parents and Children]]</f>
        <v>0</v>
      </c>
      <c r="J752" s="3">
        <v>7.8958000000000004</v>
      </c>
      <c r="K7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52" s="2" t="s">
        <v>396</v>
      </c>
    </row>
    <row r="753" spans="1:12" x14ac:dyDescent="0.25">
      <c r="A753" s="1" t="s">
        <v>1351</v>
      </c>
      <c r="B753" s="1" t="s">
        <v>1348</v>
      </c>
      <c r="C753" s="1" t="s">
        <v>751</v>
      </c>
      <c r="D753" s="1" t="s">
        <v>1321</v>
      </c>
      <c r="E753" s="1">
        <v>25</v>
      </c>
      <c r="F7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3" s="1">
        <v>0</v>
      </c>
      <c r="H753" s="1">
        <v>0</v>
      </c>
      <c r="I753" s="1">
        <f>Tabela1[[#This Row],[Siblings and Spouses]]+Tabela1[[#This Row],[Parents and Children]]</f>
        <v>0</v>
      </c>
      <c r="J753" s="3">
        <v>7.8958000000000004</v>
      </c>
      <c r="K7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53" s="2" t="s">
        <v>396</v>
      </c>
    </row>
    <row r="754" spans="1:12" x14ac:dyDescent="0.25">
      <c r="A754" s="1" t="s">
        <v>1351</v>
      </c>
      <c r="B754" s="1" t="s">
        <v>1348</v>
      </c>
      <c r="C754" s="1" t="s">
        <v>752</v>
      </c>
      <c r="D754" s="1" t="s">
        <v>1321</v>
      </c>
      <c r="E754" s="1">
        <v>24</v>
      </c>
      <c r="F7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4" s="1">
        <v>2</v>
      </c>
      <c r="H754" s="1">
        <v>0</v>
      </c>
      <c r="I754" s="1">
        <f>Tabela1[[#This Row],[Siblings and Spouses]]+Tabela1[[#This Row],[Parents and Children]]</f>
        <v>2</v>
      </c>
      <c r="J754" s="3">
        <v>24.15</v>
      </c>
      <c r="K7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54" s="2" t="s">
        <v>396</v>
      </c>
    </row>
    <row r="755" spans="1:12" x14ac:dyDescent="0.25">
      <c r="A755" s="1" t="s">
        <v>1351</v>
      </c>
      <c r="B755" s="1" t="s">
        <v>1348</v>
      </c>
      <c r="C755" s="1" t="s">
        <v>753</v>
      </c>
      <c r="D755" s="1" t="s">
        <v>1321</v>
      </c>
      <c r="E755" s="1">
        <v>22</v>
      </c>
      <c r="F7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5" s="1">
        <v>0</v>
      </c>
      <c r="H755" s="1">
        <v>0</v>
      </c>
      <c r="I755" s="1">
        <f>Tabela1[[#This Row],[Siblings and Spouses]]+Tabela1[[#This Row],[Parents and Children]]</f>
        <v>0</v>
      </c>
      <c r="J755" s="3">
        <v>8.0500000000000007</v>
      </c>
      <c r="K7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55" s="2" t="s">
        <v>396</v>
      </c>
    </row>
    <row r="756" spans="1:12" x14ac:dyDescent="0.25">
      <c r="A756" s="1" t="s">
        <v>1351</v>
      </c>
      <c r="B756" s="1" t="s">
        <v>1348</v>
      </c>
      <c r="C756" s="1" t="s">
        <v>754</v>
      </c>
      <c r="D756" s="1" t="s">
        <v>1321</v>
      </c>
      <c r="E756" s="1">
        <v>21</v>
      </c>
      <c r="F7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56" s="1">
        <v>2</v>
      </c>
      <c r="H756" s="1">
        <v>0</v>
      </c>
      <c r="I756" s="1">
        <f>Tabela1[[#This Row],[Siblings and Spouses]]+Tabela1[[#This Row],[Parents and Children]]</f>
        <v>2</v>
      </c>
      <c r="J756" s="3">
        <v>24.15</v>
      </c>
      <c r="K7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56" s="2" t="s">
        <v>396</v>
      </c>
    </row>
    <row r="757" spans="1:12" x14ac:dyDescent="0.25">
      <c r="A757" s="1" t="s">
        <v>1351</v>
      </c>
      <c r="B757" s="1" t="s">
        <v>1348</v>
      </c>
      <c r="C757" s="1" t="s">
        <v>755</v>
      </c>
      <c r="D757" s="1" t="s">
        <v>1321</v>
      </c>
      <c r="E757" s="1">
        <v>17</v>
      </c>
      <c r="F7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57" s="1">
        <v>2</v>
      </c>
      <c r="H757" s="1">
        <v>0</v>
      </c>
      <c r="I757" s="1">
        <f>Tabela1[[#This Row],[Siblings and Spouses]]+Tabela1[[#This Row],[Parents and Children]]</f>
        <v>2</v>
      </c>
      <c r="J757" s="3">
        <v>8.0500000000000007</v>
      </c>
      <c r="K7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57" s="2" t="s">
        <v>396</v>
      </c>
    </row>
    <row r="758" spans="1:12" x14ac:dyDescent="0.25">
      <c r="A758" s="1" t="s">
        <v>1351</v>
      </c>
      <c r="B758" s="1" t="s">
        <v>1348</v>
      </c>
      <c r="C758" s="1" t="s">
        <v>756</v>
      </c>
      <c r="D758" s="1" t="s">
        <v>1321</v>
      </c>
      <c r="E758" s="1" t="s">
        <v>1323</v>
      </c>
      <c r="F7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58" s="1">
        <v>1</v>
      </c>
      <c r="H758" s="1">
        <v>0</v>
      </c>
      <c r="I758" s="1">
        <f>Tabela1[[#This Row],[Siblings and Spouses]]+Tabela1[[#This Row],[Parents and Children]]</f>
        <v>1</v>
      </c>
      <c r="J758" s="3">
        <v>16.100000000000001</v>
      </c>
      <c r="K7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58" s="2" t="s">
        <v>396</v>
      </c>
    </row>
    <row r="759" spans="1:12" x14ac:dyDescent="0.25">
      <c r="A759" s="1" t="s">
        <v>1351</v>
      </c>
      <c r="B759" s="1" t="s">
        <v>1337</v>
      </c>
      <c r="C759" s="1" t="s">
        <v>757</v>
      </c>
      <c r="D759" s="1" t="s">
        <v>1320</v>
      </c>
      <c r="E759" s="1" t="s">
        <v>1323</v>
      </c>
      <c r="F7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59" s="1">
        <v>1</v>
      </c>
      <c r="H759" s="1">
        <v>0</v>
      </c>
      <c r="I759" s="1">
        <f>Tabela1[[#This Row],[Siblings and Spouses]]+Tabela1[[#This Row],[Parents and Children]]</f>
        <v>1</v>
      </c>
      <c r="J759" s="3">
        <v>16.100000000000001</v>
      </c>
      <c r="K7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59" s="2" t="s">
        <v>396</v>
      </c>
    </row>
    <row r="760" spans="1:12" x14ac:dyDescent="0.25">
      <c r="A760" s="1" t="s">
        <v>1351</v>
      </c>
      <c r="B760" s="1" t="s">
        <v>1337</v>
      </c>
      <c r="C760" s="1" t="s">
        <v>758</v>
      </c>
      <c r="D760" s="1" t="s">
        <v>1321</v>
      </c>
      <c r="E760" s="1">
        <v>36.5</v>
      </c>
      <c r="F7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60" s="1">
        <v>1</v>
      </c>
      <c r="H760" s="1">
        <v>0</v>
      </c>
      <c r="I760" s="1">
        <f>Tabela1[[#This Row],[Siblings and Spouses]]+Tabela1[[#This Row],[Parents and Children]]</f>
        <v>1</v>
      </c>
      <c r="J760" s="3">
        <v>17.399999999999999</v>
      </c>
      <c r="K7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60" s="2" t="s">
        <v>396</v>
      </c>
    </row>
    <row r="761" spans="1:12" x14ac:dyDescent="0.25">
      <c r="A761" s="1" t="s">
        <v>1351</v>
      </c>
      <c r="B761" s="1" t="s">
        <v>1337</v>
      </c>
      <c r="C761" s="1" t="s">
        <v>759</v>
      </c>
      <c r="D761" s="1" t="s">
        <v>1320</v>
      </c>
      <c r="E761" s="1">
        <v>36</v>
      </c>
      <c r="F7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61" s="1">
        <v>1</v>
      </c>
      <c r="H761" s="1">
        <v>0</v>
      </c>
      <c r="I761" s="1">
        <f>Tabela1[[#This Row],[Siblings and Spouses]]+Tabela1[[#This Row],[Parents and Children]]</f>
        <v>1</v>
      </c>
      <c r="J761" s="3">
        <v>17.399999999999999</v>
      </c>
      <c r="K7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61" s="2" t="s">
        <v>396</v>
      </c>
    </row>
    <row r="762" spans="1:12" x14ac:dyDescent="0.25">
      <c r="A762" s="1" t="s">
        <v>1351</v>
      </c>
      <c r="B762" s="1" t="s">
        <v>1337</v>
      </c>
      <c r="C762" s="1" t="s">
        <v>760</v>
      </c>
      <c r="D762" s="1" t="s">
        <v>1321</v>
      </c>
      <c r="E762" s="1">
        <v>30</v>
      </c>
      <c r="F7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62" s="1">
        <v>0</v>
      </c>
      <c r="H762" s="1">
        <v>0</v>
      </c>
      <c r="I762" s="1">
        <f>Tabela1[[#This Row],[Siblings and Spouses]]+Tabela1[[#This Row],[Parents and Children]]</f>
        <v>0</v>
      </c>
      <c r="J762" s="3">
        <v>9.5</v>
      </c>
      <c r="K7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62" s="2" t="s">
        <v>396</v>
      </c>
    </row>
    <row r="763" spans="1:12" x14ac:dyDescent="0.25">
      <c r="A763" s="1" t="s">
        <v>1351</v>
      </c>
      <c r="B763" s="1" t="s">
        <v>1348</v>
      </c>
      <c r="C763" s="1" t="s">
        <v>761</v>
      </c>
      <c r="D763" s="1" t="s">
        <v>1321</v>
      </c>
      <c r="E763" s="1">
        <v>16</v>
      </c>
      <c r="F7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63" s="1">
        <v>0</v>
      </c>
      <c r="H763" s="1">
        <v>0</v>
      </c>
      <c r="I763" s="1">
        <f>Tabela1[[#This Row],[Siblings and Spouses]]+Tabela1[[#This Row],[Parents and Children]]</f>
        <v>0</v>
      </c>
      <c r="J763" s="3">
        <v>9.5</v>
      </c>
      <c r="K7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63" s="2" t="s">
        <v>396</v>
      </c>
    </row>
    <row r="764" spans="1:12" x14ac:dyDescent="0.25">
      <c r="A764" s="1" t="s">
        <v>1351</v>
      </c>
      <c r="B764" s="1" t="s">
        <v>1337</v>
      </c>
      <c r="C764" s="1" t="s">
        <v>762</v>
      </c>
      <c r="D764" s="1" t="s">
        <v>1321</v>
      </c>
      <c r="E764" s="1">
        <v>1</v>
      </c>
      <c r="F7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64" s="1">
        <v>1</v>
      </c>
      <c r="H764" s="1">
        <v>2</v>
      </c>
      <c r="I764" s="1">
        <f>Tabela1[[#This Row],[Siblings and Spouses]]+Tabela1[[#This Row],[Parents and Children]]</f>
        <v>3</v>
      </c>
      <c r="J764" s="3">
        <v>20.574999999999999</v>
      </c>
      <c r="K7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64" s="2" t="s">
        <v>396</v>
      </c>
    </row>
    <row r="765" spans="1:12" x14ac:dyDescent="0.25">
      <c r="A765" s="1" t="s">
        <v>1351</v>
      </c>
      <c r="B765" s="1" t="s">
        <v>1337</v>
      </c>
      <c r="C765" s="1" t="s">
        <v>763</v>
      </c>
      <c r="D765" s="1" t="s">
        <v>1320</v>
      </c>
      <c r="E765" s="1">
        <v>0.16669999999999999</v>
      </c>
      <c r="F7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65" s="1">
        <v>1</v>
      </c>
      <c r="H765" s="1">
        <v>2</v>
      </c>
      <c r="I765" s="1">
        <f>Tabela1[[#This Row],[Siblings and Spouses]]+Tabela1[[#This Row],[Parents and Children]]</f>
        <v>3</v>
      </c>
      <c r="J765" s="3">
        <v>20.574999999999999</v>
      </c>
      <c r="K7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65" s="2" t="s">
        <v>396</v>
      </c>
    </row>
    <row r="766" spans="1:12" x14ac:dyDescent="0.25">
      <c r="A766" s="1" t="s">
        <v>1351</v>
      </c>
      <c r="B766" s="1" t="s">
        <v>1348</v>
      </c>
      <c r="C766" s="1" t="s">
        <v>764</v>
      </c>
      <c r="D766" s="1" t="s">
        <v>1321</v>
      </c>
      <c r="E766" s="1">
        <v>26</v>
      </c>
      <c r="F7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66" s="1">
        <v>1</v>
      </c>
      <c r="H766" s="1">
        <v>2</v>
      </c>
      <c r="I766" s="1">
        <f>Tabela1[[#This Row],[Siblings and Spouses]]+Tabela1[[#This Row],[Parents and Children]]</f>
        <v>3</v>
      </c>
      <c r="J766" s="3">
        <v>20.574999999999999</v>
      </c>
      <c r="K7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66" s="2" t="s">
        <v>396</v>
      </c>
    </row>
    <row r="767" spans="1:12" x14ac:dyDescent="0.25">
      <c r="A767" s="1" t="s">
        <v>1351</v>
      </c>
      <c r="B767" s="1" t="s">
        <v>1337</v>
      </c>
      <c r="C767" s="1" t="s">
        <v>765</v>
      </c>
      <c r="D767" s="1" t="s">
        <v>1320</v>
      </c>
      <c r="E767" s="1">
        <v>33</v>
      </c>
      <c r="F7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67" s="1">
        <v>1</v>
      </c>
      <c r="H767" s="1">
        <v>2</v>
      </c>
      <c r="I767" s="1">
        <f>Tabela1[[#This Row],[Siblings and Spouses]]+Tabela1[[#This Row],[Parents and Children]]</f>
        <v>3</v>
      </c>
      <c r="J767" s="3">
        <v>20.574999999999999</v>
      </c>
      <c r="K7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67" s="2" t="s">
        <v>396</v>
      </c>
    </row>
    <row r="768" spans="1:12" x14ac:dyDescent="0.25">
      <c r="A768" s="1" t="s">
        <v>1351</v>
      </c>
      <c r="B768" s="1" t="s">
        <v>1348</v>
      </c>
      <c r="C768" s="1" t="s">
        <v>766</v>
      </c>
      <c r="D768" s="1" t="s">
        <v>1321</v>
      </c>
      <c r="E768" s="1">
        <v>25</v>
      </c>
      <c r="F7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68" s="1">
        <v>0</v>
      </c>
      <c r="H768" s="1">
        <v>0</v>
      </c>
      <c r="I768" s="1">
        <f>Tabela1[[#This Row],[Siblings and Spouses]]+Tabela1[[#This Row],[Parents and Children]]</f>
        <v>0</v>
      </c>
      <c r="J768" s="3">
        <v>7.8958000000000004</v>
      </c>
      <c r="K7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68" s="2" t="s">
        <v>396</v>
      </c>
    </row>
    <row r="769" spans="1:12" x14ac:dyDescent="0.25">
      <c r="A769" s="1" t="s">
        <v>1351</v>
      </c>
      <c r="B769" s="1" t="s">
        <v>1348</v>
      </c>
      <c r="C769" s="1" t="s">
        <v>767</v>
      </c>
      <c r="D769" s="1" t="s">
        <v>1321</v>
      </c>
      <c r="E769" s="1" t="s">
        <v>1323</v>
      </c>
      <c r="F7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69" s="1">
        <v>0</v>
      </c>
      <c r="H769" s="1">
        <v>0</v>
      </c>
      <c r="I769" s="1">
        <f>Tabela1[[#This Row],[Siblings and Spouses]]+Tabela1[[#This Row],[Parents and Children]]</f>
        <v>0</v>
      </c>
      <c r="J769" s="3">
        <v>7.8958000000000004</v>
      </c>
      <c r="K7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69" s="2" t="s">
        <v>396</v>
      </c>
    </row>
    <row r="770" spans="1:12" x14ac:dyDescent="0.25">
      <c r="A770" s="1" t="s">
        <v>1351</v>
      </c>
      <c r="B770" s="1" t="s">
        <v>1348</v>
      </c>
      <c r="C770" s="1" t="s">
        <v>768</v>
      </c>
      <c r="D770" s="1" t="s">
        <v>1321</v>
      </c>
      <c r="E770" s="1" t="s">
        <v>1323</v>
      </c>
      <c r="F7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70" s="1">
        <v>0</v>
      </c>
      <c r="H770" s="1">
        <v>0</v>
      </c>
      <c r="I770" s="1">
        <f>Tabela1[[#This Row],[Siblings and Spouses]]+Tabela1[[#This Row],[Parents and Children]]</f>
        <v>0</v>
      </c>
      <c r="J770" s="3">
        <v>7.8958000000000004</v>
      </c>
      <c r="K7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0" s="2" t="s">
        <v>396</v>
      </c>
    </row>
    <row r="771" spans="1:12" x14ac:dyDescent="0.25">
      <c r="A771" s="1" t="s">
        <v>1351</v>
      </c>
      <c r="B771" s="1" t="s">
        <v>1348</v>
      </c>
      <c r="C771" s="1" t="s">
        <v>769</v>
      </c>
      <c r="D771" s="1" t="s">
        <v>1321</v>
      </c>
      <c r="E771" s="1">
        <v>22</v>
      </c>
      <c r="F7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71" s="1">
        <v>0</v>
      </c>
      <c r="H771" s="1">
        <v>0</v>
      </c>
      <c r="I771" s="1">
        <f>Tabela1[[#This Row],[Siblings and Spouses]]+Tabela1[[#This Row],[Parents and Children]]</f>
        <v>0</v>
      </c>
      <c r="J771" s="3">
        <v>7.25</v>
      </c>
      <c r="K7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1" s="2" t="s">
        <v>396</v>
      </c>
    </row>
    <row r="772" spans="1:12" x14ac:dyDescent="0.25">
      <c r="A772" s="1" t="s">
        <v>1351</v>
      </c>
      <c r="B772" s="1" t="s">
        <v>1348</v>
      </c>
      <c r="C772" s="1" t="s">
        <v>770</v>
      </c>
      <c r="D772" s="1" t="s">
        <v>1321</v>
      </c>
      <c r="E772" s="1">
        <v>36</v>
      </c>
      <c r="F7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72" s="1">
        <v>0</v>
      </c>
      <c r="H772" s="1">
        <v>0</v>
      </c>
      <c r="I772" s="1">
        <f>Tabela1[[#This Row],[Siblings and Spouses]]+Tabela1[[#This Row],[Parents and Children]]</f>
        <v>0</v>
      </c>
      <c r="J772" s="3">
        <v>7.25</v>
      </c>
      <c r="K7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2" s="2" t="s">
        <v>396</v>
      </c>
    </row>
    <row r="773" spans="1:12" x14ac:dyDescent="0.25">
      <c r="A773" s="1" t="s">
        <v>1351</v>
      </c>
      <c r="B773" s="1" t="s">
        <v>1337</v>
      </c>
      <c r="C773" s="1" t="s">
        <v>771</v>
      </c>
      <c r="D773" s="1" t="s">
        <v>1320</v>
      </c>
      <c r="E773" s="1">
        <v>19</v>
      </c>
      <c r="F7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73" s="1">
        <v>0</v>
      </c>
      <c r="H773" s="1">
        <v>0</v>
      </c>
      <c r="I773" s="1">
        <f>Tabela1[[#This Row],[Siblings and Spouses]]+Tabela1[[#This Row],[Parents and Children]]</f>
        <v>0</v>
      </c>
      <c r="J773" s="3">
        <v>7.8792</v>
      </c>
      <c r="K7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3" s="2" t="s">
        <v>1319</v>
      </c>
    </row>
    <row r="774" spans="1:12" x14ac:dyDescent="0.25">
      <c r="A774" s="1" t="s">
        <v>1351</v>
      </c>
      <c r="B774" s="1" t="s">
        <v>1348</v>
      </c>
      <c r="C774" s="1" t="s">
        <v>772</v>
      </c>
      <c r="D774" s="1" t="s">
        <v>1321</v>
      </c>
      <c r="E774" s="1">
        <v>17</v>
      </c>
      <c r="F7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74" s="1">
        <v>0</v>
      </c>
      <c r="H774" s="1">
        <v>0</v>
      </c>
      <c r="I774" s="1">
        <f>Tabela1[[#This Row],[Siblings and Spouses]]+Tabela1[[#This Row],[Parents and Children]]</f>
        <v>0</v>
      </c>
      <c r="J774" s="3">
        <v>7.8958000000000004</v>
      </c>
      <c r="K7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4" s="2" t="s">
        <v>396</v>
      </c>
    </row>
    <row r="775" spans="1:12" x14ac:dyDescent="0.25">
      <c r="A775" s="1" t="s">
        <v>1351</v>
      </c>
      <c r="B775" s="1" t="s">
        <v>1348</v>
      </c>
      <c r="C775" s="1" t="s">
        <v>773</v>
      </c>
      <c r="D775" s="1" t="s">
        <v>1321</v>
      </c>
      <c r="E775" s="1">
        <v>42</v>
      </c>
      <c r="F7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75" s="1">
        <v>0</v>
      </c>
      <c r="H775" s="1">
        <v>0</v>
      </c>
      <c r="I775" s="1">
        <f>Tabela1[[#This Row],[Siblings and Spouses]]+Tabela1[[#This Row],[Parents and Children]]</f>
        <v>0</v>
      </c>
      <c r="J775" s="3">
        <v>8.6624999999999996</v>
      </c>
      <c r="K7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5" s="2" t="s">
        <v>396</v>
      </c>
    </row>
    <row r="776" spans="1:12" x14ac:dyDescent="0.25">
      <c r="A776" s="1" t="s">
        <v>1351</v>
      </c>
      <c r="B776" s="1" t="s">
        <v>1348</v>
      </c>
      <c r="C776" s="1" t="s">
        <v>774</v>
      </c>
      <c r="D776" s="1" t="s">
        <v>1321</v>
      </c>
      <c r="E776" s="1">
        <v>43</v>
      </c>
      <c r="F7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76" s="1">
        <v>0</v>
      </c>
      <c r="H776" s="1">
        <v>0</v>
      </c>
      <c r="I776" s="1">
        <f>Tabela1[[#This Row],[Siblings and Spouses]]+Tabela1[[#This Row],[Parents and Children]]</f>
        <v>0</v>
      </c>
      <c r="J776" s="3">
        <v>7.8958000000000004</v>
      </c>
      <c r="K7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6" s="2" t="s">
        <v>396</v>
      </c>
    </row>
    <row r="777" spans="1:12" x14ac:dyDescent="0.25">
      <c r="A777" s="1" t="s">
        <v>1351</v>
      </c>
      <c r="B777" s="1" t="s">
        <v>1348</v>
      </c>
      <c r="C777" s="1" t="s">
        <v>775</v>
      </c>
      <c r="D777" s="1" t="s">
        <v>1321</v>
      </c>
      <c r="E777" s="1" t="s">
        <v>1323</v>
      </c>
      <c r="F7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77" s="1">
        <v>0</v>
      </c>
      <c r="H777" s="1">
        <v>0</v>
      </c>
      <c r="I777" s="1">
        <f>Tabela1[[#This Row],[Siblings and Spouses]]+Tabela1[[#This Row],[Parents and Children]]</f>
        <v>0</v>
      </c>
      <c r="J777" s="3">
        <v>7.2291999999999996</v>
      </c>
      <c r="K7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7" s="2" t="s">
        <v>1318</v>
      </c>
    </row>
    <row r="778" spans="1:12" x14ac:dyDescent="0.25">
      <c r="A778" s="1" t="s">
        <v>1351</v>
      </c>
      <c r="B778" s="1" t="s">
        <v>1348</v>
      </c>
      <c r="C778" s="1" t="s">
        <v>776</v>
      </c>
      <c r="D778" s="1" t="s">
        <v>1321</v>
      </c>
      <c r="E778" s="1">
        <v>32</v>
      </c>
      <c r="F7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78" s="1">
        <v>0</v>
      </c>
      <c r="H778" s="1">
        <v>0</v>
      </c>
      <c r="I778" s="1">
        <f>Tabela1[[#This Row],[Siblings and Spouses]]+Tabela1[[#This Row],[Parents and Children]]</f>
        <v>0</v>
      </c>
      <c r="J778" s="3">
        <v>7.75</v>
      </c>
      <c r="K7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8" s="2" t="s">
        <v>1319</v>
      </c>
    </row>
    <row r="779" spans="1:12" x14ac:dyDescent="0.25">
      <c r="A779" s="1" t="s">
        <v>1351</v>
      </c>
      <c r="B779" s="1" t="s">
        <v>1337</v>
      </c>
      <c r="C779" s="1" t="s">
        <v>777</v>
      </c>
      <c r="D779" s="1" t="s">
        <v>1321</v>
      </c>
      <c r="E779" s="1">
        <v>19</v>
      </c>
      <c r="F7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79" s="1">
        <v>0</v>
      </c>
      <c r="H779" s="1">
        <v>0</v>
      </c>
      <c r="I779" s="1">
        <f>Tabela1[[#This Row],[Siblings and Spouses]]+Tabela1[[#This Row],[Parents and Children]]</f>
        <v>0</v>
      </c>
      <c r="J779" s="3">
        <v>8.0500000000000007</v>
      </c>
      <c r="K7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79" s="2" t="s">
        <v>396</v>
      </c>
    </row>
    <row r="780" spans="1:12" x14ac:dyDescent="0.25">
      <c r="A780" s="1" t="s">
        <v>1351</v>
      </c>
      <c r="B780" s="1" t="s">
        <v>1337</v>
      </c>
      <c r="C780" s="1" t="s">
        <v>778</v>
      </c>
      <c r="D780" s="1" t="s">
        <v>1320</v>
      </c>
      <c r="E780" s="1">
        <v>30</v>
      </c>
      <c r="F7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80" s="1">
        <v>0</v>
      </c>
      <c r="H780" s="1">
        <v>0</v>
      </c>
      <c r="I780" s="1">
        <f>Tabela1[[#This Row],[Siblings and Spouses]]+Tabela1[[#This Row],[Parents and Children]]</f>
        <v>0</v>
      </c>
      <c r="J780" s="3">
        <v>12.475</v>
      </c>
      <c r="K7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80" s="2" t="s">
        <v>396</v>
      </c>
    </row>
    <row r="781" spans="1:12" x14ac:dyDescent="0.25">
      <c r="A781" s="1" t="s">
        <v>1351</v>
      </c>
      <c r="B781" s="1" t="s">
        <v>1348</v>
      </c>
      <c r="C781" s="1" t="s">
        <v>779</v>
      </c>
      <c r="D781" s="1" t="s">
        <v>1320</v>
      </c>
      <c r="E781" s="1">
        <v>24</v>
      </c>
      <c r="F7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81" s="1">
        <v>0</v>
      </c>
      <c r="H781" s="1">
        <v>0</v>
      </c>
      <c r="I781" s="1">
        <f>Tabela1[[#This Row],[Siblings and Spouses]]+Tabela1[[#This Row],[Parents and Children]]</f>
        <v>0</v>
      </c>
      <c r="J781" s="3">
        <v>7.75</v>
      </c>
      <c r="K7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1" s="2" t="s">
        <v>1319</v>
      </c>
    </row>
    <row r="782" spans="1:12" x14ac:dyDescent="0.25">
      <c r="A782" s="1" t="s">
        <v>1351</v>
      </c>
      <c r="B782" s="1" t="s">
        <v>1337</v>
      </c>
      <c r="C782" s="1" t="s">
        <v>780</v>
      </c>
      <c r="D782" s="1" t="s">
        <v>1320</v>
      </c>
      <c r="E782" s="1">
        <v>23</v>
      </c>
      <c r="F7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82" s="1">
        <v>0</v>
      </c>
      <c r="H782" s="1">
        <v>0</v>
      </c>
      <c r="I782" s="1">
        <f>Tabela1[[#This Row],[Siblings and Spouses]]+Tabela1[[#This Row],[Parents and Children]]</f>
        <v>0</v>
      </c>
      <c r="J782" s="3">
        <v>8.0500000000000007</v>
      </c>
      <c r="K7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2" s="2" t="s">
        <v>396</v>
      </c>
    </row>
    <row r="783" spans="1:12" x14ac:dyDescent="0.25">
      <c r="A783" s="1" t="s">
        <v>1351</v>
      </c>
      <c r="B783" s="1" t="s">
        <v>1348</v>
      </c>
      <c r="C783" s="1" t="s">
        <v>781</v>
      </c>
      <c r="D783" s="1" t="s">
        <v>1321</v>
      </c>
      <c r="E783" s="1">
        <v>33</v>
      </c>
      <c r="F7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83" s="1">
        <v>0</v>
      </c>
      <c r="H783" s="1">
        <v>0</v>
      </c>
      <c r="I783" s="1">
        <f>Tabela1[[#This Row],[Siblings and Spouses]]+Tabela1[[#This Row],[Parents and Children]]</f>
        <v>0</v>
      </c>
      <c r="J783" s="3">
        <v>7.8958000000000004</v>
      </c>
      <c r="K7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3" s="2" t="s">
        <v>1318</v>
      </c>
    </row>
    <row r="784" spans="1:12" x14ac:dyDescent="0.25">
      <c r="A784" s="1" t="s">
        <v>1351</v>
      </c>
      <c r="B784" s="1" t="s">
        <v>1348</v>
      </c>
      <c r="C784" s="1" t="s">
        <v>782</v>
      </c>
      <c r="D784" s="1" t="s">
        <v>1321</v>
      </c>
      <c r="E784" s="1">
        <v>65</v>
      </c>
      <c r="F7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784" s="1">
        <v>0</v>
      </c>
      <c r="H784" s="1">
        <v>0</v>
      </c>
      <c r="I784" s="1">
        <f>Tabela1[[#This Row],[Siblings and Spouses]]+Tabela1[[#This Row],[Parents and Children]]</f>
        <v>0</v>
      </c>
      <c r="J784" s="3">
        <v>7.75</v>
      </c>
      <c r="K7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4" s="2" t="s">
        <v>1319</v>
      </c>
    </row>
    <row r="785" spans="1:12" x14ac:dyDescent="0.25">
      <c r="A785" s="1" t="s">
        <v>1351</v>
      </c>
      <c r="B785" s="1" t="s">
        <v>1337</v>
      </c>
      <c r="C785" s="1" t="s">
        <v>783</v>
      </c>
      <c r="D785" s="1" t="s">
        <v>1321</v>
      </c>
      <c r="E785" s="1">
        <v>24</v>
      </c>
      <c r="F7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85" s="1">
        <v>0</v>
      </c>
      <c r="H785" s="1">
        <v>0</v>
      </c>
      <c r="I785" s="1">
        <f>Tabela1[[#This Row],[Siblings and Spouses]]+Tabela1[[#This Row],[Parents and Children]]</f>
        <v>0</v>
      </c>
      <c r="J785" s="3">
        <v>7.55</v>
      </c>
      <c r="K7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5" s="2" t="s">
        <v>396</v>
      </c>
    </row>
    <row r="786" spans="1:12" x14ac:dyDescent="0.25">
      <c r="A786" s="1" t="s">
        <v>1351</v>
      </c>
      <c r="B786" s="1" t="s">
        <v>1348</v>
      </c>
      <c r="C786" s="1" t="s">
        <v>784</v>
      </c>
      <c r="D786" s="1" t="s">
        <v>1321</v>
      </c>
      <c r="E786" s="1">
        <v>23</v>
      </c>
      <c r="F7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86" s="1">
        <v>1</v>
      </c>
      <c r="H786" s="1">
        <v>0</v>
      </c>
      <c r="I786" s="1">
        <f>Tabela1[[#This Row],[Siblings and Spouses]]+Tabela1[[#This Row],[Parents and Children]]</f>
        <v>1</v>
      </c>
      <c r="J786" s="3">
        <v>13.9</v>
      </c>
      <c r="K7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86" s="2" t="s">
        <v>396</v>
      </c>
    </row>
    <row r="787" spans="1:12" x14ac:dyDescent="0.25">
      <c r="A787" s="1" t="s">
        <v>1351</v>
      </c>
      <c r="B787" s="1" t="s">
        <v>1337</v>
      </c>
      <c r="C787" s="1" t="s">
        <v>785</v>
      </c>
      <c r="D787" s="1" t="s">
        <v>1320</v>
      </c>
      <c r="E787" s="1">
        <v>22</v>
      </c>
      <c r="F7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787" s="1">
        <v>1</v>
      </c>
      <c r="H787" s="1">
        <v>0</v>
      </c>
      <c r="I787" s="1">
        <f>Tabela1[[#This Row],[Siblings and Spouses]]+Tabela1[[#This Row],[Parents and Children]]</f>
        <v>1</v>
      </c>
      <c r="J787" s="3">
        <v>13.9</v>
      </c>
      <c r="K7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87" s="2" t="s">
        <v>396</v>
      </c>
    </row>
    <row r="788" spans="1:12" x14ac:dyDescent="0.25">
      <c r="A788" s="1" t="s">
        <v>1351</v>
      </c>
      <c r="B788" s="1" t="s">
        <v>1348</v>
      </c>
      <c r="C788" s="1" t="s">
        <v>786</v>
      </c>
      <c r="D788" s="1" t="s">
        <v>1321</v>
      </c>
      <c r="E788" s="1">
        <v>18</v>
      </c>
      <c r="F7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88" s="1">
        <v>0</v>
      </c>
      <c r="H788" s="1">
        <v>0</v>
      </c>
      <c r="I788" s="1">
        <f>Tabela1[[#This Row],[Siblings and Spouses]]+Tabela1[[#This Row],[Parents and Children]]</f>
        <v>0</v>
      </c>
      <c r="J788" s="3">
        <v>7.7750000000000004</v>
      </c>
      <c r="K7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8" s="2" t="s">
        <v>396</v>
      </c>
    </row>
    <row r="789" spans="1:12" x14ac:dyDescent="0.25">
      <c r="A789" s="1" t="s">
        <v>1351</v>
      </c>
      <c r="B789" s="1" t="s">
        <v>1348</v>
      </c>
      <c r="C789" s="1" t="s">
        <v>787</v>
      </c>
      <c r="D789" s="1" t="s">
        <v>1321</v>
      </c>
      <c r="E789" s="1">
        <v>16</v>
      </c>
      <c r="F7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89" s="1">
        <v>0</v>
      </c>
      <c r="H789" s="1">
        <v>0</v>
      </c>
      <c r="I789" s="1">
        <f>Tabela1[[#This Row],[Siblings and Spouses]]+Tabela1[[#This Row],[Parents and Children]]</f>
        <v>0</v>
      </c>
      <c r="J789" s="3">
        <v>7.7750000000000004</v>
      </c>
      <c r="K7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89" s="2" t="s">
        <v>396</v>
      </c>
    </row>
    <row r="790" spans="1:12" x14ac:dyDescent="0.25">
      <c r="A790" s="1" t="s">
        <v>1351</v>
      </c>
      <c r="B790" s="1" t="s">
        <v>1348</v>
      </c>
      <c r="C790" s="1" t="s">
        <v>788</v>
      </c>
      <c r="D790" s="1" t="s">
        <v>1321</v>
      </c>
      <c r="E790" s="1">
        <v>45</v>
      </c>
      <c r="F7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90" s="1">
        <v>0</v>
      </c>
      <c r="H790" s="1">
        <v>0</v>
      </c>
      <c r="I790" s="1">
        <f>Tabela1[[#This Row],[Siblings and Spouses]]+Tabela1[[#This Row],[Parents and Children]]</f>
        <v>0</v>
      </c>
      <c r="J790" s="3">
        <v>6.9749999999999996</v>
      </c>
      <c r="K7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0" s="2" t="s">
        <v>396</v>
      </c>
    </row>
    <row r="791" spans="1:12" x14ac:dyDescent="0.25">
      <c r="A791" s="1" t="s">
        <v>1351</v>
      </c>
      <c r="B791" s="1" t="s">
        <v>1348</v>
      </c>
      <c r="C791" s="1" t="s">
        <v>789</v>
      </c>
      <c r="D791" s="1" t="s">
        <v>1321</v>
      </c>
      <c r="E791" s="1" t="s">
        <v>1323</v>
      </c>
      <c r="F7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91" s="1">
        <v>0</v>
      </c>
      <c r="H791" s="1">
        <v>0</v>
      </c>
      <c r="I791" s="1">
        <f>Tabela1[[#This Row],[Siblings and Spouses]]+Tabela1[[#This Row],[Parents and Children]]</f>
        <v>0</v>
      </c>
      <c r="J791" s="3">
        <v>7.2249999999999996</v>
      </c>
      <c r="K7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1" s="2" t="s">
        <v>1318</v>
      </c>
    </row>
    <row r="792" spans="1:12" x14ac:dyDescent="0.25">
      <c r="A792" s="1" t="s">
        <v>1351</v>
      </c>
      <c r="B792" s="1" t="s">
        <v>1348</v>
      </c>
      <c r="C792" s="1" t="s">
        <v>790</v>
      </c>
      <c r="D792" s="1" t="s">
        <v>1321</v>
      </c>
      <c r="E792" s="1">
        <v>39</v>
      </c>
      <c r="F7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92" s="1">
        <v>0</v>
      </c>
      <c r="H792" s="1">
        <v>2</v>
      </c>
      <c r="I792" s="1">
        <f>Tabela1[[#This Row],[Siblings and Spouses]]+Tabela1[[#This Row],[Parents and Children]]</f>
        <v>2</v>
      </c>
      <c r="J792" s="3">
        <v>7.2291999999999996</v>
      </c>
      <c r="K7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2" s="2" t="s">
        <v>1318</v>
      </c>
    </row>
    <row r="793" spans="1:12" x14ac:dyDescent="0.25">
      <c r="A793" s="1" t="s">
        <v>1351</v>
      </c>
      <c r="B793" s="1" t="s">
        <v>1348</v>
      </c>
      <c r="C793" s="1" t="s">
        <v>791</v>
      </c>
      <c r="D793" s="1" t="s">
        <v>1321</v>
      </c>
      <c r="E793" s="1">
        <v>17</v>
      </c>
      <c r="F7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93" s="1">
        <v>1</v>
      </c>
      <c r="H793" s="1">
        <v>1</v>
      </c>
      <c r="I793" s="1">
        <f>Tabela1[[#This Row],[Siblings and Spouses]]+Tabela1[[#This Row],[Parents and Children]]</f>
        <v>2</v>
      </c>
      <c r="J793" s="3">
        <v>7.2291999999999996</v>
      </c>
      <c r="K7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3" s="2" t="s">
        <v>1318</v>
      </c>
    </row>
    <row r="794" spans="1:12" x14ac:dyDescent="0.25">
      <c r="A794" s="1" t="s">
        <v>1351</v>
      </c>
      <c r="B794" s="1" t="s">
        <v>1348</v>
      </c>
      <c r="C794" s="1" t="s">
        <v>792</v>
      </c>
      <c r="D794" s="1" t="s">
        <v>1321</v>
      </c>
      <c r="E794" s="1">
        <v>15</v>
      </c>
      <c r="F7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94" s="1">
        <v>1</v>
      </c>
      <c r="H794" s="1">
        <v>1</v>
      </c>
      <c r="I794" s="1">
        <f>Tabela1[[#This Row],[Siblings and Spouses]]+Tabela1[[#This Row],[Parents and Children]]</f>
        <v>2</v>
      </c>
      <c r="J794" s="3">
        <v>7.2291999999999996</v>
      </c>
      <c r="K7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4" s="2" t="s">
        <v>1318</v>
      </c>
    </row>
    <row r="795" spans="1:12" x14ac:dyDescent="0.25">
      <c r="A795" s="1" t="s">
        <v>1351</v>
      </c>
      <c r="B795" s="1" t="s">
        <v>1348</v>
      </c>
      <c r="C795" s="1" t="s">
        <v>793</v>
      </c>
      <c r="D795" s="1" t="s">
        <v>1321</v>
      </c>
      <c r="E795" s="1">
        <v>47</v>
      </c>
      <c r="F7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795" s="1">
        <v>0</v>
      </c>
      <c r="H795" s="1">
        <v>0</v>
      </c>
      <c r="I795" s="1">
        <f>Tabela1[[#This Row],[Siblings and Spouses]]+Tabela1[[#This Row],[Parents and Children]]</f>
        <v>0</v>
      </c>
      <c r="J795" s="3">
        <v>7.25</v>
      </c>
      <c r="K7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5" s="2" t="s">
        <v>396</v>
      </c>
    </row>
    <row r="796" spans="1:12" x14ac:dyDescent="0.25">
      <c r="A796" s="1" t="s">
        <v>1351</v>
      </c>
      <c r="B796" s="1" t="s">
        <v>1337</v>
      </c>
      <c r="C796" s="1" t="s">
        <v>794</v>
      </c>
      <c r="D796" s="1" t="s">
        <v>1320</v>
      </c>
      <c r="E796" s="1">
        <v>5</v>
      </c>
      <c r="F7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796" s="1">
        <v>0</v>
      </c>
      <c r="H796" s="1">
        <v>0</v>
      </c>
      <c r="I796" s="1">
        <f>Tabela1[[#This Row],[Siblings and Spouses]]+Tabela1[[#This Row],[Parents and Children]]</f>
        <v>0</v>
      </c>
      <c r="J796" s="3">
        <v>12.475</v>
      </c>
      <c r="K7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96" s="2" t="s">
        <v>396</v>
      </c>
    </row>
    <row r="797" spans="1:12" x14ac:dyDescent="0.25">
      <c r="A797" s="1" t="s">
        <v>1351</v>
      </c>
      <c r="B797" s="1" t="s">
        <v>1348</v>
      </c>
      <c r="C797" s="1" t="s">
        <v>795</v>
      </c>
      <c r="D797" s="1" t="s">
        <v>1321</v>
      </c>
      <c r="E797" s="1" t="s">
        <v>1323</v>
      </c>
      <c r="F7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797" s="1">
        <v>0</v>
      </c>
      <c r="H797" s="1">
        <v>0</v>
      </c>
      <c r="I797" s="1">
        <f>Tabela1[[#This Row],[Siblings and Spouses]]+Tabela1[[#This Row],[Parents and Children]]</f>
        <v>0</v>
      </c>
      <c r="J797" s="3">
        <v>7.2249999999999996</v>
      </c>
      <c r="K7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7" s="2" t="s">
        <v>1318</v>
      </c>
    </row>
    <row r="798" spans="1:12" x14ac:dyDescent="0.25">
      <c r="A798" s="1" t="s">
        <v>1351</v>
      </c>
      <c r="B798" s="1" t="s">
        <v>1348</v>
      </c>
      <c r="C798" s="1" t="s">
        <v>796</v>
      </c>
      <c r="D798" s="1" t="s">
        <v>1321</v>
      </c>
      <c r="E798" s="1">
        <v>40.5</v>
      </c>
      <c r="F7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98" s="1">
        <v>0</v>
      </c>
      <c r="H798" s="1">
        <v>0</v>
      </c>
      <c r="I798" s="1">
        <f>Tabela1[[#This Row],[Siblings and Spouses]]+Tabela1[[#This Row],[Parents and Children]]</f>
        <v>0</v>
      </c>
      <c r="J798" s="3">
        <v>15.1</v>
      </c>
      <c r="K7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798" s="2" t="s">
        <v>396</v>
      </c>
    </row>
    <row r="799" spans="1:12" x14ac:dyDescent="0.25">
      <c r="A799" s="1" t="s">
        <v>1351</v>
      </c>
      <c r="B799" s="1" t="s">
        <v>1348</v>
      </c>
      <c r="C799" s="1" t="s">
        <v>797</v>
      </c>
      <c r="D799" s="1" t="s">
        <v>1321</v>
      </c>
      <c r="E799" s="1">
        <v>40.5</v>
      </c>
      <c r="F7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799" s="1">
        <v>0</v>
      </c>
      <c r="H799" s="1">
        <v>0</v>
      </c>
      <c r="I799" s="1">
        <f>Tabela1[[#This Row],[Siblings and Spouses]]+Tabela1[[#This Row],[Parents and Children]]</f>
        <v>0</v>
      </c>
      <c r="J799" s="3">
        <v>7.75</v>
      </c>
      <c r="K7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799" s="2" t="s">
        <v>1319</v>
      </c>
    </row>
    <row r="800" spans="1:12" x14ac:dyDescent="0.25">
      <c r="A800" s="1" t="s">
        <v>1351</v>
      </c>
      <c r="B800" s="1" t="s">
        <v>1337</v>
      </c>
      <c r="C800" s="1" t="s">
        <v>798</v>
      </c>
      <c r="D800" s="1" t="s">
        <v>1321</v>
      </c>
      <c r="E800" s="1" t="s">
        <v>1323</v>
      </c>
      <c r="F8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00" s="1">
        <v>0</v>
      </c>
      <c r="H800" s="1">
        <v>0</v>
      </c>
      <c r="I800" s="1">
        <f>Tabela1[[#This Row],[Siblings and Spouses]]+Tabela1[[#This Row],[Parents and Children]]</f>
        <v>0</v>
      </c>
      <c r="J800" s="3">
        <v>7.05</v>
      </c>
      <c r="K8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0" s="2" t="s">
        <v>396</v>
      </c>
    </row>
    <row r="801" spans="1:12" x14ac:dyDescent="0.25">
      <c r="A801" s="1" t="s">
        <v>1351</v>
      </c>
      <c r="B801" s="1" t="s">
        <v>1348</v>
      </c>
      <c r="C801" s="1" t="s">
        <v>799</v>
      </c>
      <c r="D801" s="1" t="s">
        <v>1321</v>
      </c>
      <c r="E801" s="1">
        <v>18</v>
      </c>
      <c r="F8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01" s="1">
        <v>0</v>
      </c>
      <c r="H801" s="1">
        <v>0</v>
      </c>
      <c r="I801" s="1">
        <f>Tabela1[[#This Row],[Siblings and Spouses]]+Tabela1[[#This Row],[Parents and Children]]</f>
        <v>0</v>
      </c>
      <c r="J801" s="3">
        <v>7.7957999999999998</v>
      </c>
      <c r="K8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1" s="2" t="s">
        <v>396</v>
      </c>
    </row>
    <row r="802" spans="1:12" x14ac:dyDescent="0.25">
      <c r="A802" s="1" t="s">
        <v>1351</v>
      </c>
      <c r="B802" s="1" t="s">
        <v>1348</v>
      </c>
      <c r="C802" s="1" t="s">
        <v>800</v>
      </c>
      <c r="D802" s="1" t="s">
        <v>1320</v>
      </c>
      <c r="E802" s="1" t="s">
        <v>1323</v>
      </c>
      <c r="F8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02" s="1">
        <v>0</v>
      </c>
      <c r="H802" s="1">
        <v>0</v>
      </c>
      <c r="I802" s="1">
        <f>Tabela1[[#This Row],[Siblings and Spouses]]+Tabela1[[#This Row],[Parents and Children]]</f>
        <v>0</v>
      </c>
      <c r="J802" s="3">
        <v>7.75</v>
      </c>
      <c r="K8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2" s="2" t="s">
        <v>1319</v>
      </c>
    </row>
    <row r="803" spans="1:12" x14ac:dyDescent="0.25">
      <c r="A803" s="1" t="s">
        <v>1351</v>
      </c>
      <c r="B803" s="1" t="s">
        <v>1348</v>
      </c>
      <c r="C803" s="1" t="s">
        <v>801</v>
      </c>
      <c r="D803" s="1" t="s">
        <v>1321</v>
      </c>
      <c r="E803" s="1" t="s">
        <v>1323</v>
      </c>
      <c r="F8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03" s="1">
        <v>0</v>
      </c>
      <c r="H803" s="1">
        <v>0</v>
      </c>
      <c r="I803" s="1">
        <f>Tabela1[[#This Row],[Siblings and Spouses]]+Tabela1[[#This Row],[Parents and Children]]</f>
        <v>0</v>
      </c>
      <c r="J803" s="3">
        <v>7.75</v>
      </c>
      <c r="K8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3" s="2" t="s">
        <v>1319</v>
      </c>
    </row>
    <row r="804" spans="1:12" x14ac:dyDescent="0.25">
      <c r="A804" s="1" t="s">
        <v>1351</v>
      </c>
      <c r="B804" s="1" t="s">
        <v>1348</v>
      </c>
      <c r="C804" s="1" t="s">
        <v>802</v>
      </c>
      <c r="D804" s="1" t="s">
        <v>1321</v>
      </c>
      <c r="E804" s="1" t="s">
        <v>1323</v>
      </c>
      <c r="F8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04" s="1">
        <v>0</v>
      </c>
      <c r="H804" s="1">
        <v>0</v>
      </c>
      <c r="I804" s="1">
        <f>Tabela1[[#This Row],[Siblings and Spouses]]+Tabela1[[#This Row],[Parents and Children]]</f>
        <v>0</v>
      </c>
      <c r="J804" s="3">
        <v>6.95</v>
      </c>
      <c r="K8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4" s="2" t="s">
        <v>1319</v>
      </c>
    </row>
    <row r="805" spans="1:12" x14ac:dyDescent="0.25">
      <c r="A805" s="1" t="s">
        <v>1351</v>
      </c>
      <c r="B805" s="1" t="s">
        <v>1348</v>
      </c>
      <c r="C805" s="1" t="s">
        <v>803</v>
      </c>
      <c r="D805" s="1" t="s">
        <v>1321</v>
      </c>
      <c r="E805" s="1">
        <v>26</v>
      </c>
      <c r="F8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05" s="1">
        <v>0</v>
      </c>
      <c r="H805" s="1">
        <v>0</v>
      </c>
      <c r="I805" s="1">
        <f>Tabela1[[#This Row],[Siblings and Spouses]]+Tabela1[[#This Row],[Parents and Children]]</f>
        <v>0</v>
      </c>
      <c r="J805" s="3">
        <v>7.8792</v>
      </c>
      <c r="K8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5" s="2" t="s">
        <v>1319</v>
      </c>
    </row>
    <row r="806" spans="1:12" x14ac:dyDescent="0.25">
      <c r="A806" s="1" t="s">
        <v>1351</v>
      </c>
      <c r="B806" s="1" t="s">
        <v>1348</v>
      </c>
      <c r="C806" s="1" t="s">
        <v>804</v>
      </c>
      <c r="D806" s="1" t="s">
        <v>1321</v>
      </c>
      <c r="E806" s="1" t="s">
        <v>1323</v>
      </c>
      <c r="F8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06" s="1">
        <v>0</v>
      </c>
      <c r="H806" s="1">
        <v>0</v>
      </c>
      <c r="I806" s="1">
        <f>Tabela1[[#This Row],[Siblings and Spouses]]+Tabela1[[#This Row],[Parents and Children]]</f>
        <v>0</v>
      </c>
      <c r="J806" s="3">
        <v>7.75</v>
      </c>
      <c r="K8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06" s="2" t="s">
        <v>1319</v>
      </c>
    </row>
    <row r="807" spans="1:12" x14ac:dyDescent="0.25">
      <c r="A807" s="1" t="s">
        <v>1351</v>
      </c>
      <c r="B807" s="1" t="s">
        <v>1337</v>
      </c>
      <c r="C807" s="1" t="s">
        <v>805</v>
      </c>
      <c r="D807" s="1" t="s">
        <v>1321</v>
      </c>
      <c r="E807" s="1" t="s">
        <v>1323</v>
      </c>
      <c r="F8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07" s="1">
        <v>0</v>
      </c>
      <c r="H807" s="1">
        <v>0</v>
      </c>
      <c r="I807" s="1">
        <f>Tabela1[[#This Row],[Siblings and Spouses]]+Tabela1[[#This Row],[Parents and Children]]</f>
        <v>0</v>
      </c>
      <c r="J807" s="3">
        <v>56.495800000000003</v>
      </c>
      <c r="K8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07" s="2" t="s">
        <v>396</v>
      </c>
    </row>
    <row r="808" spans="1:12" x14ac:dyDescent="0.25">
      <c r="A808" s="1" t="s">
        <v>1351</v>
      </c>
      <c r="B808" s="1" t="s">
        <v>1348</v>
      </c>
      <c r="C808" s="1" t="s">
        <v>806</v>
      </c>
      <c r="D808" s="1" t="s">
        <v>1320</v>
      </c>
      <c r="E808" s="1">
        <v>21</v>
      </c>
      <c r="F8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08" s="1">
        <v>2</v>
      </c>
      <c r="H808" s="1">
        <v>2</v>
      </c>
      <c r="I808" s="1">
        <f>Tabela1[[#This Row],[Siblings and Spouses]]+Tabela1[[#This Row],[Parents and Children]]</f>
        <v>4</v>
      </c>
      <c r="J808" s="3">
        <v>34.375</v>
      </c>
      <c r="K8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08" s="2" t="s">
        <v>396</v>
      </c>
    </row>
    <row r="809" spans="1:12" x14ac:dyDescent="0.25">
      <c r="A809" s="1" t="s">
        <v>1351</v>
      </c>
      <c r="B809" s="1" t="s">
        <v>1348</v>
      </c>
      <c r="C809" s="1" t="s">
        <v>807</v>
      </c>
      <c r="D809" s="1" t="s">
        <v>1320</v>
      </c>
      <c r="E809" s="1">
        <v>9</v>
      </c>
      <c r="F8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09" s="1">
        <v>2</v>
      </c>
      <c r="H809" s="1">
        <v>2</v>
      </c>
      <c r="I809" s="1">
        <f>Tabela1[[#This Row],[Siblings and Spouses]]+Tabela1[[#This Row],[Parents and Children]]</f>
        <v>4</v>
      </c>
      <c r="J809" s="3">
        <v>34.375</v>
      </c>
      <c r="K8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09" s="2" t="s">
        <v>396</v>
      </c>
    </row>
    <row r="810" spans="1:12" x14ac:dyDescent="0.25">
      <c r="A810" s="1" t="s">
        <v>1351</v>
      </c>
      <c r="B810" s="1" t="s">
        <v>1348</v>
      </c>
      <c r="C810" s="1" t="s">
        <v>808</v>
      </c>
      <c r="D810" s="1" t="s">
        <v>1321</v>
      </c>
      <c r="E810" s="1" t="s">
        <v>1323</v>
      </c>
      <c r="F8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10" s="1">
        <v>0</v>
      </c>
      <c r="H810" s="1">
        <v>0</v>
      </c>
      <c r="I810" s="1">
        <f>Tabela1[[#This Row],[Siblings and Spouses]]+Tabela1[[#This Row],[Parents and Children]]</f>
        <v>0</v>
      </c>
      <c r="J810" s="3">
        <v>8.0500000000000007</v>
      </c>
      <c r="K8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10" s="2" t="s">
        <v>396</v>
      </c>
    </row>
    <row r="811" spans="1:12" x14ac:dyDescent="0.25">
      <c r="A811" s="1" t="s">
        <v>1351</v>
      </c>
      <c r="B811" s="1" t="s">
        <v>1348</v>
      </c>
      <c r="C811" s="1" t="s">
        <v>809</v>
      </c>
      <c r="D811" s="1" t="s">
        <v>1321</v>
      </c>
      <c r="E811" s="1">
        <v>18</v>
      </c>
      <c r="F8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11" s="1">
        <v>2</v>
      </c>
      <c r="H811" s="1">
        <v>2</v>
      </c>
      <c r="I811" s="1">
        <f>Tabela1[[#This Row],[Siblings and Spouses]]+Tabela1[[#This Row],[Parents and Children]]</f>
        <v>4</v>
      </c>
      <c r="J811" s="3">
        <v>34.375</v>
      </c>
      <c r="K8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11" s="2" t="s">
        <v>396</v>
      </c>
    </row>
    <row r="812" spans="1:12" x14ac:dyDescent="0.25">
      <c r="A812" s="1" t="s">
        <v>1351</v>
      </c>
      <c r="B812" s="1" t="s">
        <v>1348</v>
      </c>
      <c r="C812" s="1" t="s">
        <v>810</v>
      </c>
      <c r="D812" s="1" t="s">
        <v>1321</v>
      </c>
      <c r="E812" s="1">
        <v>16</v>
      </c>
      <c r="F8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12" s="1">
        <v>1</v>
      </c>
      <c r="H812" s="1">
        <v>3</v>
      </c>
      <c r="I812" s="1">
        <f>Tabela1[[#This Row],[Siblings and Spouses]]+Tabela1[[#This Row],[Parents and Children]]</f>
        <v>4</v>
      </c>
      <c r="J812" s="3">
        <v>34.375</v>
      </c>
      <c r="K8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12" s="2" t="s">
        <v>396</v>
      </c>
    </row>
    <row r="813" spans="1:12" x14ac:dyDescent="0.25">
      <c r="A813" s="1" t="s">
        <v>1351</v>
      </c>
      <c r="B813" s="1" t="s">
        <v>1348</v>
      </c>
      <c r="C813" s="1" t="s">
        <v>811</v>
      </c>
      <c r="D813" s="1" t="s">
        <v>1320</v>
      </c>
      <c r="E813" s="1">
        <v>48</v>
      </c>
      <c r="F8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13" s="1">
        <v>1</v>
      </c>
      <c r="H813" s="1">
        <v>3</v>
      </c>
      <c r="I813" s="1">
        <f>Tabela1[[#This Row],[Siblings and Spouses]]+Tabela1[[#This Row],[Parents and Children]]</f>
        <v>4</v>
      </c>
      <c r="J813" s="3">
        <v>34.375</v>
      </c>
      <c r="K8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13" s="2" t="s">
        <v>396</v>
      </c>
    </row>
    <row r="814" spans="1:12" x14ac:dyDescent="0.25">
      <c r="A814" s="1" t="s">
        <v>1351</v>
      </c>
      <c r="B814" s="1" t="s">
        <v>1348</v>
      </c>
      <c r="C814" s="1" t="s">
        <v>812</v>
      </c>
      <c r="D814" s="1" t="s">
        <v>1321</v>
      </c>
      <c r="E814" s="1" t="s">
        <v>1323</v>
      </c>
      <c r="F8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14" s="1">
        <v>0</v>
      </c>
      <c r="H814" s="1">
        <v>0</v>
      </c>
      <c r="I814" s="1">
        <f>Tabela1[[#This Row],[Siblings and Spouses]]+Tabela1[[#This Row],[Parents and Children]]</f>
        <v>0</v>
      </c>
      <c r="J814" s="3">
        <v>7.75</v>
      </c>
      <c r="K8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14" s="2" t="s">
        <v>1319</v>
      </c>
    </row>
    <row r="815" spans="1:12" x14ac:dyDescent="0.25">
      <c r="A815" s="1" t="s">
        <v>1351</v>
      </c>
      <c r="B815" s="1" t="s">
        <v>1348</v>
      </c>
      <c r="C815" s="1" t="s">
        <v>813</v>
      </c>
      <c r="D815" s="1" t="s">
        <v>1321</v>
      </c>
      <c r="E815" s="1" t="s">
        <v>1323</v>
      </c>
      <c r="F8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15" s="1">
        <v>0</v>
      </c>
      <c r="H815" s="1">
        <v>0</v>
      </c>
      <c r="I815" s="1">
        <f>Tabela1[[#This Row],[Siblings and Spouses]]+Tabela1[[#This Row],[Parents and Children]]</f>
        <v>0</v>
      </c>
      <c r="J815" s="3">
        <v>7.25</v>
      </c>
      <c r="K8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15" s="2" t="s">
        <v>396</v>
      </c>
    </row>
    <row r="816" spans="1:12" x14ac:dyDescent="0.25">
      <c r="A816" s="1" t="s">
        <v>1351</v>
      </c>
      <c r="B816" s="1" t="s">
        <v>1348</v>
      </c>
      <c r="C816" s="1" t="s">
        <v>814</v>
      </c>
      <c r="D816" s="1" t="s">
        <v>1321</v>
      </c>
      <c r="E816" s="1">
        <v>25</v>
      </c>
      <c r="F8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16" s="1">
        <v>0</v>
      </c>
      <c r="H816" s="1">
        <v>0</v>
      </c>
      <c r="I816" s="1">
        <f>Tabela1[[#This Row],[Siblings and Spouses]]+Tabela1[[#This Row],[Parents and Children]]</f>
        <v>0</v>
      </c>
      <c r="J816" s="3">
        <v>7.7416999999999998</v>
      </c>
      <c r="K8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16" s="2" t="s">
        <v>1319</v>
      </c>
    </row>
    <row r="817" spans="1:12" x14ac:dyDescent="0.25">
      <c r="A817" s="1" t="s">
        <v>1351</v>
      </c>
      <c r="B817" s="1" t="s">
        <v>1348</v>
      </c>
      <c r="C817" s="1" t="s">
        <v>815</v>
      </c>
      <c r="D817" s="1" t="s">
        <v>1321</v>
      </c>
      <c r="E817" s="1" t="s">
        <v>1323</v>
      </c>
      <c r="F8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17" s="1">
        <v>0</v>
      </c>
      <c r="H817" s="1">
        <v>0</v>
      </c>
      <c r="I817" s="1">
        <f>Tabela1[[#This Row],[Siblings and Spouses]]+Tabela1[[#This Row],[Parents and Children]]</f>
        <v>0</v>
      </c>
      <c r="J817" s="3">
        <v>14.5</v>
      </c>
      <c r="K8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17" s="2" t="s">
        <v>396</v>
      </c>
    </row>
    <row r="818" spans="1:12" x14ac:dyDescent="0.25">
      <c r="A818" s="1" t="s">
        <v>1351</v>
      </c>
      <c r="B818" s="1" t="s">
        <v>1348</v>
      </c>
      <c r="C818" s="1" t="s">
        <v>816</v>
      </c>
      <c r="D818" s="1" t="s">
        <v>1321</v>
      </c>
      <c r="E818" s="1" t="s">
        <v>1323</v>
      </c>
      <c r="F8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18" s="1">
        <v>0</v>
      </c>
      <c r="H818" s="1">
        <v>0</v>
      </c>
      <c r="I818" s="1">
        <f>Tabela1[[#This Row],[Siblings and Spouses]]+Tabela1[[#This Row],[Parents and Children]]</f>
        <v>0</v>
      </c>
      <c r="J818" s="3">
        <v>7.8958000000000004</v>
      </c>
      <c r="K8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18" s="2" t="s">
        <v>1318</v>
      </c>
    </row>
    <row r="819" spans="1:12" x14ac:dyDescent="0.25">
      <c r="A819" s="1" t="s">
        <v>1351</v>
      </c>
      <c r="B819" s="1" t="s">
        <v>1348</v>
      </c>
      <c r="C819" s="1" t="s">
        <v>817</v>
      </c>
      <c r="D819" s="1" t="s">
        <v>1321</v>
      </c>
      <c r="E819" s="1">
        <v>22</v>
      </c>
      <c r="F8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19" s="1">
        <v>0</v>
      </c>
      <c r="H819" s="1">
        <v>0</v>
      </c>
      <c r="I819" s="1">
        <f>Tabela1[[#This Row],[Siblings and Spouses]]+Tabela1[[#This Row],[Parents and Children]]</f>
        <v>0</v>
      </c>
      <c r="J819" s="3">
        <v>8.0500000000000007</v>
      </c>
      <c r="K8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19" s="2" t="s">
        <v>396</v>
      </c>
    </row>
    <row r="820" spans="1:12" x14ac:dyDescent="0.25">
      <c r="A820" s="1" t="s">
        <v>1351</v>
      </c>
      <c r="B820" s="1" t="s">
        <v>1337</v>
      </c>
      <c r="C820" s="1" t="s">
        <v>818</v>
      </c>
      <c r="D820" s="1" t="s">
        <v>1320</v>
      </c>
      <c r="E820" s="1">
        <v>16</v>
      </c>
      <c r="F8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20" s="1">
        <v>0</v>
      </c>
      <c r="H820" s="1">
        <v>0</v>
      </c>
      <c r="I820" s="1">
        <f>Tabela1[[#This Row],[Siblings and Spouses]]+Tabela1[[#This Row],[Parents and Children]]</f>
        <v>0</v>
      </c>
      <c r="J820" s="3">
        <v>7.7332999999999998</v>
      </c>
      <c r="K8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20" s="2" t="s">
        <v>1319</v>
      </c>
    </row>
    <row r="821" spans="1:12" x14ac:dyDescent="0.25">
      <c r="A821" s="1" t="s">
        <v>1351</v>
      </c>
      <c r="B821" s="1" t="s">
        <v>1337</v>
      </c>
      <c r="C821" s="1" t="s">
        <v>819</v>
      </c>
      <c r="D821" s="1" t="s">
        <v>1320</v>
      </c>
      <c r="E821" s="1" t="s">
        <v>1323</v>
      </c>
      <c r="F8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21" s="1">
        <v>0</v>
      </c>
      <c r="H821" s="1">
        <v>0</v>
      </c>
      <c r="I821" s="1">
        <f>Tabela1[[#This Row],[Siblings and Spouses]]+Tabela1[[#This Row],[Parents and Children]]</f>
        <v>0</v>
      </c>
      <c r="J821" s="3">
        <v>7.75</v>
      </c>
      <c r="K8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21" s="2" t="s">
        <v>1319</v>
      </c>
    </row>
    <row r="822" spans="1:12" x14ac:dyDescent="0.25">
      <c r="A822" s="1" t="s">
        <v>1351</v>
      </c>
      <c r="B822" s="1" t="s">
        <v>1337</v>
      </c>
      <c r="C822" s="1" t="s">
        <v>820</v>
      </c>
      <c r="D822" s="1" t="s">
        <v>1321</v>
      </c>
      <c r="E822" s="1">
        <v>9</v>
      </c>
      <c r="F8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22" s="1">
        <v>0</v>
      </c>
      <c r="H822" s="1">
        <v>2</v>
      </c>
      <c r="I822" s="1">
        <f>Tabela1[[#This Row],[Siblings and Spouses]]+Tabela1[[#This Row],[Parents and Children]]</f>
        <v>2</v>
      </c>
      <c r="J822" s="3">
        <v>20.524999999999999</v>
      </c>
      <c r="K8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22" s="2" t="s">
        <v>396</v>
      </c>
    </row>
    <row r="823" spans="1:12" x14ac:dyDescent="0.25">
      <c r="A823" s="1" t="s">
        <v>1351</v>
      </c>
      <c r="B823" s="1" t="s">
        <v>1348</v>
      </c>
      <c r="C823" s="1" t="s">
        <v>821</v>
      </c>
      <c r="D823" s="1" t="s">
        <v>1321</v>
      </c>
      <c r="E823" s="1">
        <v>33</v>
      </c>
      <c r="F8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23" s="1">
        <v>1</v>
      </c>
      <c r="H823" s="1">
        <v>1</v>
      </c>
      <c r="I823" s="1">
        <f>Tabela1[[#This Row],[Siblings and Spouses]]+Tabela1[[#This Row],[Parents and Children]]</f>
        <v>2</v>
      </c>
      <c r="J823" s="3">
        <v>20.524999999999999</v>
      </c>
      <c r="K8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23" s="2" t="s">
        <v>396</v>
      </c>
    </row>
    <row r="824" spans="1:12" x14ac:dyDescent="0.25">
      <c r="A824" s="1" t="s">
        <v>1351</v>
      </c>
      <c r="B824" s="1" t="s">
        <v>1348</v>
      </c>
      <c r="C824" s="1" t="s">
        <v>822</v>
      </c>
      <c r="D824" s="1" t="s">
        <v>1321</v>
      </c>
      <c r="E824" s="1">
        <v>41</v>
      </c>
      <c r="F8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24" s="1">
        <v>0</v>
      </c>
      <c r="H824" s="1">
        <v>0</v>
      </c>
      <c r="I824" s="1">
        <f>Tabela1[[#This Row],[Siblings and Spouses]]+Tabela1[[#This Row],[Parents and Children]]</f>
        <v>0</v>
      </c>
      <c r="J824" s="3">
        <v>7.85</v>
      </c>
      <c r="K8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24" s="2" t="s">
        <v>396</v>
      </c>
    </row>
    <row r="825" spans="1:12" x14ac:dyDescent="0.25">
      <c r="A825" s="1" t="s">
        <v>1351</v>
      </c>
      <c r="B825" s="1" t="s">
        <v>1337</v>
      </c>
      <c r="C825" s="1" t="s">
        <v>823</v>
      </c>
      <c r="D825" s="1" t="s">
        <v>1320</v>
      </c>
      <c r="E825" s="1">
        <v>31</v>
      </c>
      <c r="F8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25" s="1">
        <v>1</v>
      </c>
      <c r="H825" s="1">
        <v>1</v>
      </c>
      <c r="I825" s="1">
        <f>Tabela1[[#This Row],[Siblings and Spouses]]+Tabela1[[#This Row],[Parents and Children]]</f>
        <v>2</v>
      </c>
      <c r="J825" s="3">
        <v>20.524999999999999</v>
      </c>
      <c r="K8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25" s="2" t="s">
        <v>396</v>
      </c>
    </row>
    <row r="826" spans="1:12" x14ac:dyDescent="0.25">
      <c r="A826" s="1" t="s">
        <v>1351</v>
      </c>
      <c r="B826" s="1" t="s">
        <v>1348</v>
      </c>
      <c r="C826" s="1" t="s">
        <v>824</v>
      </c>
      <c r="D826" s="1" t="s">
        <v>1321</v>
      </c>
      <c r="E826" s="1">
        <v>38</v>
      </c>
      <c r="F8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26" s="1">
        <v>0</v>
      </c>
      <c r="H826" s="1">
        <v>0</v>
      </c>
      <c r="I826" s="1">
        <f>Tabela1[[#This Row],[Siblings and Spouses]]+Tabela1[[#This Row],[Parents and Children]]</f>
        <v>0</v>
      </c>
      <c r="J826" s="3">
        <v>7.05</v>
      </c>
      <c r="K8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26" s="2" t="s">
        <v>396</v>
      </c>
    </row>
    <row r="827" spans="1:12" x14ac:dyDescent="0.25">
      <c r="A827" s="1" t="s">
        <v>1351</v>
      </c>
      <c r="B827" s="1" t="s">
        <v>1348</v>
      </c>
      <c r="C827" s="1" t="s">
        <v>825</v>
      </c>
      <c r="D827" s="1" t="s">
        <v>1321</v>
      </c>
      <c r="E827" s="1">
        <v>9</v>
      </c>
      <c r="F8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27" s="1">
        <v>5</v>
      </c>
      <c r="H827" s="1">
        <v>2</v>
      </c>
      <c r="I827" s="1">
        <f>Tabela1[[#This Row],[Siblings and Spouses]]+Tabela1[[#This Row],[Parents and Children]]</f>
        <v>7</v>
      </c>
      <c r="J827" s="3">
        <v>46.9</v>
      </c>
      <c r="K8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27" s="2" t="s">
        <v>396</v>
      </c>
    </row>
    <row r="828" spans="1:12" x14ac:dyDescent="0.25">
      <c r="A828" s="1" t="s">
        <v>1351</v>
      </c>
      <c r="B828" s="1" t="s">
        <v>1348</v>
      </c>
      <c r="C828" s="1" t="s">
        <v>826</v>
      </c>
      <c r="D828" s="1" t="s">
        <v>1321</v>
      </c>
      <c r="E828" s="1">
        <v>1</v>
      </c>
      <c r="F8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28" s="1">
        <v>5</v>
      </c>
      <c r="H828" s="1">
        <v>2</v>
      </c>
      <c r="I828" s="1">
        <f>Tabela1[[#This Row],[Siblings and Spouses]]+Tabela1[[#This Row],[Parents and Children]]</f>
        <v>7</v>
      </c>
      <c r="J828" s="3">
        <v>46.9</v>
      </c>
      <c r="K8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28" s="2" t="s">
        <v>396</v>
      </c>
    </row>
    <row r="829" spans="1:12" x14ac:dyDescent="0.25">
      <c r="A829" s="1" t="s">
        <v>1351</v>
      </c>
      <c r="B829" s="1" t="s">
        <v>1348</v>
      </c>
      <c r="C829" s="1" t="s">
        <v>827</v>
      </c>
      <c r="D829" s="1" t="s">
        <v>1321</v>
      </c>
      <c r="E829" s="1">
        <v>11</v>
      </c>
      <c r="F8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29" s="1">
        <v>5</v>
      </c>
      <c r="H829" s="1">
        <v>2</v>
      </c>
      <c r="I829" s="1">
        <f>Tabela1[[#This Row],[Siblings and Spouses]]+Tabela1[[#This Row],[Parents and Children]]</f>
        <v>7</v>
      </c>
      <c r="J829" s="3">
        <v>46.9</v>
      </c>
      <c r="K8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29" s="2" t="s">
        <v>396</v>
      </c>
    </row>
    <row r="830" spans="1:12" x14ac:dyDescent="0.25">
      <c r="A830" s="1" t="s">
        <v>1351</v>
      </c>
      <c r="B830" s="1" t="s">
        <v>1348</v>
      </c>
      <c r="C830" s="1" t="s">
        <v>828</v>
      </c>
      <c r="D830" s="1" t="s">
        <v>1320</v>
      </c>
      <c r="E830" s="1">
        <v>10</v>
      </c>
      <c r="F8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30" s="1">
        <v>5</v>
      </c>
      <c r="H830" s="1">
        <v>2</v>
      </c>
      <c r="I830" s="1">
        <f>Tabela1[[#This Row],[Siblings and Spouses]]+Tabela1[[#This Row],[Parents and Children]]</f>
        <v>7</v>
      </c>
      <c r="J830" s="3">
        <v>46.9</v>
      </c>
      <c r="K8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30" s="2" t="s">
        <v>396</v>
      </c>
    </row>
    <row r="831" spans="1:12" x14ac:dyDescent="0.25">
      <c r="A831" s="1" t="s">
        <v>1351</v>
      </c>
      <c r="B831" s="1" t="s">
        <v>1348</v>
      </c>
      <c r="C831" s="1" t="s">
        <v>829</v>
      </c>
      <c r="D831" s="1" t="s">
        <v>1320</v>
      </c>
      <c r="E831" s="1">
        <v>16</v>
      </c>
      <c r="F8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31" s="1">
        <v>5</v>
      </c>
      <c r="H831" s="1">
        <v>2</v>
      </c>
      <c r="I831" s="1">
        <f>Tabela1[[#This Row],[Siblings and Spouses]]+Tabela1[[#This Row],[Parents and Children]]</f>
        <v>7</v>
      </c>
      <c r="J831" s="3">
        <v>46.9</v>
      </c>
      <c r="K8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31" s="2" t="s">
        <v>396</v>
      </c>
    </row>
    <row r="832" spans="1:12" x14ac:dyDescent="0.25">
      <c r="A832" s="1" t="s">
        <v>1351</v>
      </c>
      <c r="B832" s="1" t="s">
        <v>1348</v>
      </c>
      <c r="C832" s="1" t="s">
        <v>830</v>
      </c>
      <c r="D832" s="1" t="s">
        <v>1321</v>
      </c>
      <c r="E832" s="1">
        <v>14</v>
      </c>
      <c r="F8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32" s="1">
        <v>5</v>
      </c>
      <c r="H832" s="1">
        <v>2</v>
      </c>
      <c r="I832" s="1">
        <f>Tabela1[[#This Row],[Siblings and Spouses]]+Tabela1[[#This Row],[Parents and Children]]</f>
        <v>7</v>
      </c>
      <c r="J832" s="3">
        <v>46.9</v>
      </c>
      <c r="K8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32" s="2" t="s">
        <v>396</v>
      </c>
    </row>
    <row r="833" spans="1:12" x14ac:dyDescent="0.25">
      <c r="A833" s="1" t="s">
        <v>1351</v>
      </c>
      <c r="B833" s="1" t="s">
        <v>1348</v>
      </c>
      <c r="C833" s="1" t="s">
        <v>831</v>
      </c>
      <c r="D833" s="1" t="s">
        <v>1321</v>
      </c>
      <c r="E833" s="1">
        <v>40</v>
      </c>
      <c r="F8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33" s="1">
        <v>1</v>
      </c>
      <c r="H833" s="1">
        <v>6</v>
      </c>
      <c r="I833" s="1">
        <f>Tabela1[[#This Row],[Siblings and Spouses]]+Tabela1[[#This Row],[Parents and Children]]</f>
        <v>7</v>
      </c>
      <c r="J833" s="3">
        <v>46.9</v>
      </c>
      <c r="K8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33" s="2" t="s">
        <v>396</v>
      </c>
    </row>
    <row r="834" spans="1:12" x14ac:dyDescent="0.25">
      <c r="A834" s="1" t="s">
        <v>1351</v>
      </c>
      <c r="B834" s="1" t="s">
        <v>1348</v>
      </c>
      <c r="C834" s="1" t="s">
        <v>832</v>
      </c>
      <c r="D834" s="1" t="s">
        <v>1320</v>
      </c>
      <c r="E834" s="1">
        <v>43</v>
      </c>
      <c r="F8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34" s="1">
        <v>1</v>
      </c>
      <c r="H834" s="1">
        <v>6</v>
      </c>
      <c r="I834" s="1">
        <f>Tabela1[[#This Row],[Siblings and Spouses]]+Tabela1[[#This Row],[Parents and Children]]</f>
        <v>7</v>
      </c>
      <c r="J834" s="3">
        <v>46.9</v>
      </c>
      <c r="K8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834" s="2" t="s">
        <v>396</v>
      </c>
    </row>
    <row r="835" spans="1:12" x14ac:dyDescent="0.25">
      <c r="A835" s="1" t="s">
        <v>1351</v>
      </c>
      <c r="B835" s="1" t="s">
        <v>1348</v>
      </c>
      <c r="C835" s="1" t="s">
        <v>833</v>
      </c>
      <c r="D835" s="1" t="s">
        <v>1321</v>
      </c>
      <c r="E835" s="1">
        <v>51</v>
      </c>
      <c r="F8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835" s="1">
        <v>0</v>
      </c>
      <c r="H835" s="1">
        <v>0</v>
      </c>
      <c r="I835" s="1">
        <f>Tabela1[[#This Row],[Siblings and Spouses]]+Tabela1[[#This Row],[Parents and Children]]</f>
        <v>0</v>
      </c>
      <c r="J835" s="3">
        <v>8.0500000000000007</v>
      </c>
      <c r="K8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35" s="2" t="s">
        <v>396</v>
      </c>
    </row>
    <row r="836" spans="1:12" x14ac:dyDescent="0.25">
      <c r="A836" s="1" t="s">
        <v>1351</v>
      </c>
      <c r="B836" s="1" t="s">
        <v>1348</v>
      </c>
      <c r="C836" s="1" t="s">
        <v>834</v>
      </c>
      <c r="D836" s="1" t="s">
        <v>1321</v>
      </c>
      <c r="E836" s="1">
        <v>32</v>
      </c>
      <c r="F8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36" s="1">
        <v>0</v>
      </c>
      <c r="H836" s="1">
        <v>0</v>
      </c>
      <c r="I836" s="1">
        <f>Tabela1[[#This Row],[Siblings and Spouses]]+Tabela1[[#This Row],[Parents and Children]]</f>
        <v>0</v>
      </c>
      <c r="J836" s="3">
        <v>8.3625000000000007</v>
      </c>
      <c r="K8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36" s="2" t="s">
        <v>396</v>
      </c>
    </row>
    <row r="837" spans="1:12" x14ac:dyDescent="0.25">
      <c r="A837" s="1" t="s">
        <v>1351</v>
      </c>
      <c r="B837" s="1" t="s">
        <v>1348</v>
      </c>
      <c r="C837" s="1" t="s">
        <v>835</v>
      </c>
      <c r="D837" s="1" t="s">
        <v>1321</v>
      </c>
      <c r="E837" s="1" t="s">
        <v>1323</v>
      </c>
      <c r="F8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37" s="1">
        <v>0</v>
      </c>
      <c r="H837" s="1">
        <v>0</v>
      </c>
      <c r="I837" s="1">
        <f>Tabela1[[#This Row],[Siblings and Spouses]]+Tabela1[[#This Row],[Parents and Children]]</f>
        <v>0</v>
      </c>
      <c r="J837" s="3">
        <v>8.0500000000000007</v>
      </c>
      <c r="K8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37" s="2" t="s">
        <v>396</v>
      </c>
    </row>
    <row r="838" spans="1:12" x14ac:dyDescent="0.25">
      <c r="A838" s="1" t="s">
        <v>1351</v>
      </c>
      <c r="B838" s="1" t="s">
        <v>1348</v>
      </c>
      <c r="C838" s="1" t="s">
        <v>836</v>
      </c>
      <c r="D838" s="1" t="s">
        <v>1321</v>
      </c>
      <c r="E838" s="1">
        <v>20</v>
      </c>
      <c r="F8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38" s="1">
        <v>0</v>
      </c>
      <c r="H838" s="1">
        <v>0</v>
      </c>
      <c r="I838" s="1">
        <f>Tabela1[[#This Row],[Siblings and Spouses]]+Tabela1[[#This Row],[Parents and Children]]</f>
        <v>0</v>
      </c>
      <c r="J838" s="3">
        <v>9.8458000000000006</v>
      </c>
      <c r="K8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38" s="2" t="s">
        <v>396</v>
      </c>
    </row>
    <row r="839" spans="1:12" x14ac:dyDescent="0.25">
      <c r="A839" s="1" t="s">
        <v>1351</v>
      </c>
      <c r="B839" s="1" t="s">
        <v>1348</v>
      </c>
      <c r="C839" s="1" t="s">
        <v>837</v>
      </c>
      <c r="D839" s="1" t="s">
        <v>1321</v>
      </c>
      <c r="E839" s="1">
        <v>37</v>
      </c>
      <c r="F8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39" s="1">
        <v>2</v>
      </c>
      <c r="H839" s="1">
        <v>0</v>
      </c>
      <c r="I839" s="1">
        <f>Tabela1[[#This Row],[Siblings and Spouses]]+Tabela1[[#This Row],[Parents and Children]]</f>
        <v>2</v>
      </c>
      <c r="J839" s="3">
        <v>7.9249999999999998</v>
      </c>
      <c r="K8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39" s="2" t="s">
        <v>396</v>
      </c>
    </row>
    <row r="840" spans="1:12" x14ac:dyDescent="0.25">
      <c r="A840" s="1" t="s">
        <v>1351</v>
      </c>
      <c r="B840" s="1" t="s">
        <v>1348</v>
      </c>
      <c r="C840" s="1" t="s">
        <v>838</v>
      </c>
      <c r="D840" s="1" t="s">
        <v>1321</v>
      </c>
      <c r="E840" s="1">
        <v>28</v>
      </c>
      <c r="F8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0" s="1">
        <v>2</v>
      </c>
      <c r="H840" s="1">
        <v>0</v>
      </c>
      <c r="I840" s="1">
        <f>Tabela1[[#This Row],[Siblings and Spouses]]+Tabela1[[#This Row],[Parents and Children]]</f>
        <v>2</v>
      </c>
      <c r="J840" s="3">
        <v>7.9249999999999998</v>
      </c>
      <c r="K8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40" s="2" t="s">
        <v>396</v>
      </c>
    </row>
    <row r="841" spans="1:12" x14ac:dyDescent="0.25">
      <c r="A841" s="1" t="s">
        <v>1351</v>
      </c>
      <c r="B841" s="1" t="s">
        <v>1348</v>
      </c>
      <c r="C841" s="1" t="s">
        <v>839</v>
      </c>
      <c r="D841" s="1" t="s">
        <v>1321</v>
      </c>
      <c r="E841" s="1">
        <v>19</v>
      </c>
      <c r="F8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1" s="1">
        <v>0</v>
      </c>
      <c r="H841" s="1">
        <v>0</v>
      </c>
      <c r="I841" s="1">
        <f>Tabela1[[#This Row],[Siblings and Spouses]]+Tabela1[[#This Row],[Parents and Children]]</f>
        <v>0</v>
      </c>
      <c r="J841" s="3">
        <v>7.7750000000000004</v>
      </c>
      <c r="K8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41" s="2" t="s">
        <v>396</v>
      </c>
    </row>
    <row r="842" spans="1:12" x14ac:dyDescent="0.25">
      <c r="A842" s="1" t="s">
        <v>1351</v>
      </c>
      <c r="B842" s="1" t="s">
        <v>1348</v>
      </c>
      <c r="C842" s="1" t="s">
        <v>840</v>
      </c>
      <c r="D842" s="1" t="s">
        <v>1320</v>
      </c>
      <c r="E842" s="1">
        <v>24</v>
      </c>
      <c r="F8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2" s="1">
        <v>0</v>
      </c>
      <c r="H842" s="1">
        <v>0</v>
      </c>
      <c r="I842" s="1">
        <f>Tabela1[[#This Row],[Siblings and Spouses]]+Tabela1[[#This Row],[Parents and Children]]</f>
        <v>0</v>
      </c>
      <c r="J842" s="3">
        <v>8.85</v>
      </c>
      <c r="K8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42" s="2" t="s">
        <v>396</v>
      </c>
    </row>
    <row r="843" spans="1:12" x14ac:dyDescent="0.25">
      <c r="A843" s="1" t="s">
        <v>1351</v>
      </c>
      <c r="B843" s="1" t="s">
        <v>1348</v>
      </c>
      <c r="C843" s="1" t="s">
        <v>841</v>
      </c>
      <c r="D843" s="1" t="s">
        <v>1320</v>
      </c>
      <c r="E843" s="1">
        <v>17</v>
      </c>
      <c r="F8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43" s="1">
        <v>0</v>
      </c>
      <c r="H843" s="1">
        <v>0</v>
      </c>
      <c r="I843" s="1">
        <f>Tabela1[[#This Row],[Siblings and Spouses]]+Tabela1[[#This Row],[Parents and Children]]</f>
        <v>0</v>
      </c>
      <c r="J843" s="3">
        <v>7.7332999999999998</v>
      </c>
      <c r="K8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43" s="2" t="s">
        <v>1319</v>
      </c>
    </row>
    <row r="844" spans="1:12" x14ac:dyDescent="0.25">
      <c r="A844" s="1" t="s">
        <v>1351</v>
      </c>
      <c r="B844" s="1" t="s">
        <v>1348</v>
      </c>
      <c r="C844" s="1" t="s">
        <v>842</v>
      </c>
      <c r="D844" s="1" t="s">
        <v>1321</v>
      </c>
      <c r="E844" s="1" t="s">
        <v>1323</v>
      </c>
      <c r="F8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44" s="1">
        <v>1</v>
      </c>
      <c r="H844" s="1">
        <v>0</v>
      </c>
      <c r="I844" s="1">
        <f>Tabela1[[#This Row],[Siblings and Spouses]]+Tabela1[[#This Row],[Parents and Children]]</f>
        <v>1</v>
      </c>
      <c r="J844" s="3">
        <v>19.966699999999999</v>
      </c>
      <c r="K8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44" s="2" t="s">
        <v>396</v>
      </c>
    </row>
    <row r="845" spans="1:12" x14ac:dyDescent="0.25">
      <c r="A845" s="1" t="s">
        <v>1351</v>
      </c>
      <c r="B845" s="1" t="s">
        <v>1348</v>
      </c>
      <c r="C845" s="1" t="s">
        <v>843</v>
      </c>
      <c r="D845" s="1" t="s">
        <v>1321</v>
      </c>
      <c r="E845" s="1" t="s">
        <v>1323</v>
      </c>
      <c r="F8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45" s="1">
        <v>1</v>
      </c>
      <c r="H845" s="1">
        <v>0</v>
      </c>
      <c r="I845" s="1">
        <f>Tabela1[[#This Row],[Siblings and Spouses]]+Tabela1[[#This Row],[Parents and Children]]</f>
        <v>1</v>
      </c>
      <c r="J845" s="3">
        <v>19.966699999999999</v>
      </c>
      <c r="K8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45" s="2" t="s">
        <v>396</v>
      </c>
    </row>
    <row r="846" spans="1:12" x14ac:dyDescent="0.25">
      <c r="A846" s="1" t="s">
        <v>1351</v>
      </c>
      <c r="B846" s="1" t="s">
        <v>1348</v>
      </c>
      <c r="C846" s="1" t="s">
        <v>844</v>
      </c>
      <c r="D846" s="1" t="s">
        <v>1321</v>
      </c>
      <c r="E846" s="1">
        <v>28</v>
      </c>
      <c r="F8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6" s="1">
        <v>1</v>
      </c>
      <c r="H846" s="1">
        <v>0</v>
      </c>
      <c r="I846" s="1">
        <f>Tabela1[[#This Row],[Siblings and Spouses]]+Tabela1[[#This Row],[Parents and Children]]</f>
        <v>1</v>
      </c>
      <c r="J846" s="3">
        <v>15.85</v>
      </c>
      <c r="K8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46" s="2" t="s">
        <v>396</v>
      </c>
    </row>
    <row r="847" spans="1:12" x14ac:dyDescent="0.25">
      <c r="A847" s="1" t="s">
        <v>1351</v>
      </c>
      <c r="B847" s="1" t="s">
        <v>1337</v>
      </c>
      <c r="C847" s="1" t="s">
        <v>845</v>
      </c>
      <c r="D847" s="1" t="s">
        <v>1320</v>
      </c>
      <c r="E847" s="1">
        <v>24</v>
      </c>
      <c r="F8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7" s="1">
        <v>1</v>
      </c>
      <c r="H847" s="1">
        <v>0</v>
      </c>
      <c r="I847" s="1">
        <f>Tabela1[[#This Row],[Siblings and Spouses]]+Tabela1[[#This Row],[Parents and Children]]</f>
        <v>1</v>
      </c>
      <c r="J847" s="3">
        <v>15.85</v>
      </c>
      <c r="K8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47" s="2" t="s">
        <v>396</v>
      </c>
    </row>
    <row r="848" spans="1:12" x14ac:dyDescent="0.25">
      <c r="A848" s="1" t="s">
        <v>1351</v>
      </c>
      <c r="B848" s="1" t="s">
        <v>1348</v>
      </c>
      <c r="C848" s="1" t="s">
        <v>846</v>
      </c>
      <c r="D848" s="1" t="s">
        <v>1321</v>
      </c>
      <c r="E848" s="1">
        <v>20</v>
      </c>
      <c r="F8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8" s="1">
        <v>0</v>
      </c>
      <c r="H848" s="1">
        <v>0</v>
      </c>
      <c r="I848" s="1">
        <f>Tabela1[[#This Row],[Siblings and Spouses]]+Tabela1[[#This Row],[Parents and Children]]</f>
        <v>0</v>
      </c>
      <c r="J848" s="3">
        <v>9.5</v>
      </c>
      <c r="K8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48" s="2" t="s">
        <v>396</v>
      </c>
    </row>
    <row r="849" spans="1:12" x14ac:dyDescent="0.25">
      <c r="A849" s="1" t="s">
        <v>1351</v>
      </c>
      <c r="B849" s="1" t="s">
        <v>1348</v>
      </c>
      <c r="C849" s="1" t="s">
        <v>847</v>
      </c>
      <c r="D849" s="1" t="s">
        <v>1321</v>
      </c>
      <c r="E849" s="1">
        <v>23.5</v>
      </c>
      <c r="F8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49" s="1">
        <v>0</v>
      </c>
      <c r="H849" s="1">
        <v>0</v>
      </c>
      <c r="I849" s="1">
        <f>Tabela1[[#This Row],[Siblings and Spouses]]+Tabela1[[#This Row],[Parents and Children]]</f>
        <v>0</v>
      </c>
      <c r="J849" s="3">
        <v>7.2291999999999996</v>
      </c>
      <c r="K8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49" s="2" t="s">
        <v>1318</v>
      </c>
    </row>
    <row r="850" spans="1:12" x14ac:dyDescent="0.25">
      <c r="A850" s="1" t="s">
        <v>1351</v>
      </c>
      <c r="B850" s="1" t="s">
        <v>1348</v>
      </c>
      <c r="C850" s="1" t="s">
        <v>848</v>
      </c>
      <c r="D850" s="1" t="s">
        <v>1321</v>
      </c>
      <c r="E850" s="1">
        <v>41</v>
      </c>
      <c r="F8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50" s="1">
        <v>2</v>
      </c>
      <c r="H850" s="1">
        <v>0</v>
      </c>
      <c r="I850" s="1">
        <f>Tabela1[[#This Row],[Siblings and Spouses]]+Tabela1[[#This Row],[Parents and Children]]</f>
        <v>2</v>
      </c>
      <c r="J850" s="3">
        <v>14.1083</v>
      </c>
      <c r="K8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50" s="2" t="s">
        <v>396</v>
      </c>
    </row>
    <row r="851" spans="1:12" x14ac:dyDescent="0.25">
      <c r="A851" s="1" t="s">
        <v>1351</v>
      </c>
      <c r="B851" s="1" t="s">
        <v>1348</v>
      </c>
      <c r="C851" s="1" t="s">
        <v>849</v>
      </c>
      <c r="D851" s="1" t="s">
        <v>1321</v>
      </c>
      <c r="E851" s="1">
        <v>26</v>
      </c>
      <c r="F8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51" s="1">
        <v>1</v>
      </c>
      <c r="H851" s="1">
        <v>0</v>
      </c>
      <c r="I851" s="1">
        <f>Tabela1[[#This Row],[Siblings and Spouses]]+Tabela1[[#This Row],[Parents and Children]]</f>
        <v>1</v>
      </c>
      <c r="J851" s="3">
        <v>7.8541999999999996</v>
      </c>
      <c r="K8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1" s="2" t="s">
        <v>396</v>
      </c>
    </row>
    <row r="852" spans="1:12" x14ac:dyDescent="0.25">
      <c r="A852" s="1" t="s">
        <v>1351</v>
      </c>
      <c r="B852" s="1" t="s">
        <v>1348</v>
      </c>
      <c r="C852" s="1" t="s">
        <v>850</v>
      </c>
      <c r="D852" s="1" t="s">
        <v>1321</v>
      </c>
      <c r="E852" s="1">
        <v>21</v>
      </c>
      <c r="F8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52" s="1">
        <v>0</v>
      </c>
      <c r="H852" s="1">
        <v>0</v>
      </c>
      <c r="I852" s="1">
        <f>Tabela1[[#This Row],[Siblings and Spouses]]+Tabela1[[#This Row],[Parents and Children]]</f>
        <v>0</v>
      </c>
      <c r="J852" s="3">
        <v>7.8541999999999996</v>
      </c>
      <c r="K8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2" s="2" t="s">
        <v>396</v>
      </c>
    </row>
    <row r="853" spans="1:12" x14ac:dyDescent="0.25">
      <c r="A853" s="1" t="s">
        <v>1351</v>
      </c>
      <c r="B853" s="1" t="s">
        <v>1337</v>
      </c>
      <c r="C853" s="1" t="s">
        <v>851</v>
      </c>
      <c r="D853" s="1" t="s">
        <v>1320</v>
      </c>
      <c r="E853" s="1">
        <v>45</v>
      </c>
      <c r="F8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53" s="1">
        <v>1</v>
      </c>
      <c r="H853" s="1">
        <v>0</v>
      </c>
      <c r="I853" s="1">
        <f>Tabela1[[#This Row],[Siblings and Spouses]]+Tabela1[[#This Row],[Parents and Children]]</f>
        <v>1</v>
      </c>
      <c r="J853" s="3">
        <v>14.1083</v>
      </c>
      <c r="K8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53" s="2" t="s">
        <v>396</v>
      </c>
    </row>
    <row r="854" spans="1:12" x14ac:dyDescent="0.25">
      <c r="A854" s="1" t="s">
        <v>1351</v>
      </c>
      <c r="B854" s="1" t="s">
        <v>1348</v>
      </c>
      <c r="C854" s="1" t="s">
        <v>852</v>
      </c>
      <c r="D854" s="1" t="s">
        <v>1320</v>
      </c>
      <c r="E854" s="1" t="s">
        <v>1323</v>
      </c>
      <c r="F8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54" s="1">
        <v>0</v>
      </c>
      <c r="H854" s="1">
        <v>0</v>
      </c>
      <c r="I854" s="1">
        <f>Tabela1[[#This Row],[Siblings and Spouses]]+Tabela1[[#This Row],[Parents and Children]]</f>
        <v>0</v>
      </c>
      <c r="J854" s="3">
        <v>7.55</v>
      </c>
      <c r="K8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4" s="2" t="s">
        <v>396</v>
      </c>
    </row>
    <row r="855" spans="1:12" x14ac:dyDescent="0.25">
      <c r="A855" s="1" t="s">
        <v>1351</v>
      </c>
      <c r="B855" s="1" t="s">
        <v>1348</v>
      </c>
      <c r="C855" s="1" t="s">
        <v>853</v>
      </c>
      <c r="D855" s="1" t="s">
        <v>1321</v>
      </c>
      <c r="E855" s="1">
        <v>25</v>
      </c>
      <c r="F8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55" s="1">
        <v>0</v>
      </c>
      <c r="H855" s="1">
        <v>0</v>
      </c>
      <c r="I855" s="1">
        <f>Tabela1[[#This Row],[Siblings and Spouses]]+Tabela1[[#This Row],[Parents and Children]]</f>
        <v>0</v>
      </c>
      <c r="J855" s="3">
        <v>7.25</v>
      </c>
      <c r="K8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5" s="2" t="s">
        <v>396</v>
      </c>
    </row>
    <row r="856" spans="1:12" x14ac:dyDescent="0.25">
      <c r="A856" s="1" t="s">
        <v>1351</v>
      </c>
      <c r="B856" s="1" t="s">
        <v>1348</v>
      </c>
      <c r="C856" s="1" t="s">
        <v>854</v>
      </c>
      <c r="D856" s="1" t="s">
        <v>1321</v>
      </c>
      <c r="E856" s="1" t="s">
        <v>1323</v>
      </c>
      <c r="F8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56" s="1">
        <v>0</v>
      </c>
      <c r="H856" s="1">
        <v>0</v>
      </c>
      <c r="I856" s="1">
        <f>Tabela1[[#This Row],[Siblings and Spouses]]+Tabela1[[#This Row],[Parents and Children]]</f>
        <v>0</v>
      </c>
      <c r="J856" s="3">
        <v>6.8582999999999998</v>
      </c>
      <c r="K8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6" s="2" t="s">
        <v>1319</v>
      </c>
    </row>
    <row r="857" spans="1:12" x14ac:dyDescent="0.25">
      <c r="A857" s="1" t="s">
        <v>1351</v>
      </c>
      <c r="B857" s="1" t="s">
        <v>1348</v>
      </c>
      <c r="C857" s="1" t="s">
        <v>855</v>
      </c>
      <c r="D857" s="1" t="s">
        <v>1321</v>
      </c>
      <c r="E857" s="1">
        <v>11</v>
      </c>
      <c r="F8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57" s="1">
        <v>0</v>
      </c>
      <c r="H857" s="1">
        <v>0</v>
      </c>
      <c r="I857" s="1">
        <f>Tabela1[[#This Row],[Siblings and Spouses]]+Tabela1[[#This Row],[Parents and Children]]</f>
        <v>0</v>
      </c>
      <c r="J857" s="3">
        <v>18.787500000000001</v>
      </c>
      <c r="K8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57" s="2" t="s">
        <v>1318</v>
      </c>
    </row>
    <row r="858" spans="1:12" x14ac:dyDescent="0.25">
      <c r="A858" s="1" t="s">
        <v>1351</v>
      </c>
      <c r="B858" s="1" t="s">
        <v>1337</v>
      </c>
      <c r="C858" s="1" t="s">
        <v>856</v>
      </c>
      <c r="D858" s="1" t="s">
        <v>1320</v>
      </c>
      <c r="E858" s="1" t="s">
        <v>1323</v>
      </c>
      <c r="F8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58" s="1">
        <v>0</v>
      </c>
      <c r="H858" s="1">
        <v>0</v>
      </c>
      <c r="I858" s="1">
        <f>Tabela1[[#This Row],[Siblings and Spouses]]+Tabela1[[#This Row],[Parents and Children]]</f>
        <v>0</v>
      </c>
      <c r="J858" s="3">
        <v>7.75</v>
      </c>
      <c r="K8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8" s="2" t="s">
        <v>1319</v>
      </c>
    </row>
    <row r="859" spans="1:12" x14ac:dyDescent="0.25">
      <c r="A859" s="1" t="s">
        <v>1351</v>
      </c>
      <c r="B859" s="1" t="s">
        <v>1337</v>
      </c>
      <c r="C859" s="1" t="s">
        <v>857</v>
      </c>
      <c r="D859" s="1" t="s">
        <v>1321</v>
      </c>
      <c r="E859" s="1">
        <v>27</v>
      </c>
      <c r="F8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59" s="1">
        <v>0</v>
      </c>
      <c r="H859" s="1">
        <v>0</v>
      </c>
      <c r="I859" s="1">
        <f>Tabela1[[#This Row],[Siblings and Spouses]]+Tabela1[[#This Row],[Parents and Children]]</f>
        <v>0</v>
      </c>
      <c r="J859" s="3">
        <v>6.9749999999999996</v>
      </c>
      <c r="K8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59" s="2" t="s">
        <v>396</v>
      </c>
    </row>
    <row r="860" spans="1:12" x14ac:dyDescent="0.25">
      <c r="A860" s="1" t="s">
        <v>1351</v>
      </c>
      <c r="B860" s="1" t="s">
        <v>1337</v>
      </c>
      <c r="C860" s="1" t="s">
        <v>858</v>
      </c>
      <c r="D860" s="1" t="s">
        <v>1321</v>
      </c>
      <c r="E860" s="1" t="s">
        <v>1323</v>
      </c>
      <c r="F8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60" s="1">
        <v>0</v>
      </c>
      <c r="H860" s="1">
        <v>0</v>
      </c>
      <c r="I860" s="1">
        <f>Tabela1[[#This Row],[Siblings and Spouses]]+Tabela1[[#This Row],[Parents and Children]]</f>
        <v>0</v>
      </c>
      <c r="J860" s="3">
        <v>56.495800000000003</v>
      </c>
      <c r="K8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860" s="2" t="s">
        <v>396</v>
      </c>
    </row>
    <row r="861" spans="1:12" x14ac:dyDescent="0.25">
      <c r="A861" s="1" t="s">
        <v>1351</v>
      </c>
      <c r="B861" s="1" t="s">
        <v>1348</v>
      </c>
      <c r="C861" s="1" t="s">
        <v>859</v>
      </c>
      <c r="D861" s="1" t="s">
        <v>1320</v>
      </c>
      <c r="E861" s="1">
        <v>18</v>
      </c>
      <c r="F8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61" s="1">
        <v>0</v>
      </c>
      <c r="H861" s="1">
        <v>0</v>
      </c>
      <c r="I861" s="1">
        <f>Tabela1[[#This Row],[Siblings and Spouses]]+Tabela1[[#This Row],[Parents and Children]]</f>
        <v>0</v>
      </c>
      <c r="J861" s="3">
        <v>6.75</v>
      </c>
      <c r="K8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1" s="2" t="s">
        <v>1319</v>
      </c>
    </row>
    <row r="862" spans="1:12" x14ac:dyDescent="0.25">
      <c r="A862" s="1" t="s">
        <v>1351</v>
      </c>
      <c r="B862" s="1" t="s">
        <v>1337</v>
      </c>
      <c r="C862" s="1" t="s">
        <v>860</v>
      </c>
      <c r="D862" s="1" t="s">
        <v>1320</v>
      </c>
      <c r="E862" s="1">
        <v>26</v>
      </c>
      <c r="F8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62" s="1">
        <v>0</v>
      </c>
      <c r="H862" s="1">
        <v>0</v>
      </c>
      <c r="I862" s="1">
        <f>Tabela1[[#This Row],[Siblings and Spouses]]+Tabela1[[#This Row],[Parents and Children]]</f>
        <v>0</v>
      </c>
      <c r="J862" s="3">
        <v>7.9249999999999998</v>
      </c>
      <c r="K8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2" s="2" t="s">
        <v>396</v>
      </c>
    </row>
    <row r="863" spans="1:12" x14ac:dyDescent="0.25">
      <c r="A863" s="1" t="s">
        <v>1351</v>
      </c>
      <c r="B863" s="1" t="s">
        <v>1348</v>
      </c>
      <c r="C863" s="1" t="s">
        <v>861</v>
      </c>
      <c r="D863" s="1" t="s">
        <v>1320</v>
      </c>
      <c r="E863" s="1">
        <v>23</v>
      </c>
      <c r="F8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63" s="1">
        <v>0</v>
      </c>
      <c r="H863" s="1">
        <v>0</v>
      </c>
      <c r="I863" s="1">
        <f>Tabela1[[#This Row],[Siblings and Spouses]]+Tabela1[[#This Row],[Parents and Children]]</f>
        <v>0</v>
      </c>
      <c r="J863" s="3">
        <v>7.9249999999999998</v>
      </c>
      <c r="K8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3" s="2" t="s">
        <v>396</v>
      </c>
    </row>
    <row r="864" spans="1:12" x14ac:dyDescent="0.25">
      <c r="A864" s="1" t="s">
        <v>1351</v>
      </c>
      <c r="B864" s="1" t="s">
        <v>1337</v>
      </c>
      <c r="C864" s="1" t="s">
        <v>862</v>
      </c>
      <c r="D864" s="1" t="s">
        <v>1320</v>
      </c>
      <c r="E864" s="1">
        <v>22</v>
      </c>
      <c r="F8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64" s="1">
        <v>0</v>
      </c>
      <c r="H864" s="1">
        <v>0</v>
      </c>
      <c r="I864" s="1">
        <f>Tabela1[[#This Row],[Siblings and Spouses]]+Tabela1[[#This Row],[Parents and Children]]</f>
        <v>0</v>
      </c>
      <c r="J864" s="3">
        <v>8.9625000000000004</v>
      </c>
      <c r="K8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4" s="2" t="s">
        <v>396</v>
      </c>
    </row>
    <row r="865" spans="1:12" x14ac:dyDescent="0.25">
      <c r="A865" s="1" t="s">
        <v>1351</v>
      </c>
      <c r="B865" s="1" t="s">
        <v>1348</v>
      </c>
      <c r="C865" s="1" t="s">
        <v>863</v>
      </c>
      <c r="D865" s="1" t="s">
        <v>1321</v>
      </c>
      <c r="E865" s="1">
        <v>28</v>
      </c>
      <c r="F8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65" s="1">
        <v>0</v>
      </c>
      <c r="H865" s="1">
        <v>0</v>
      </c>
      <c r="I865" s="1">
        <f>Tabela1[[#This Row],[Siblings and Spouses]]+Tabela1[[#This Row],[Parents and Children]]</f>
        <v>0</v>
      </c>
      <c r="J865" s="3">
        <v>7.8958000000000004</v>
      </c>
      <c r="K8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5" s="2" t="s">
        <v>396</v>
      </c>
    </row>
    <row r="866" spans="1:12" x14ac:dyDescent="0.25">
      <c r="A866" s="1" t="s">
        <v>1351</v>
      </c>
      <c r="B866" s="1" t="s">
        <v>1348</v>
      </c>
      <c r="C866" s="1" t="s">
        <v>864</v>
      </c>
      <c r="D866" s="1" t="s">
        <v>1320</v>
      </c>
      <c r="E866" s="1">
        <v>28</v>
      </c>
      <c r="F8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66" s="1">
        <v>0</v>
      </c>
      <c r="H866" s="1">
        <v>0</v>
      </c>
      <c r="I866" s="1">
        <f>Tabela1[[#This Row],[Siblings and Spouses]]+Tabela1[[#This Row],[Parents and Children]]</f>
        <v>0</v>
      </c>
      <c r="J866" s="3">
        <v>7.7750000000000004</v>
      </c>
      <c r="K8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6" s="2" t="s">
        <v>396</v>
      </c>
    </row>
    <row r="867" spans="1:12" x14ac:dyDescent="0.25">
      <c r="A867" s="1" t="s">
        <v>1351</v>
      </c>
      <c r="B867" s="1" t="s">
        <v>1348</v>
      </c>
      <c r="C867" s="1" t="s">
        <v>865</v>
      </c>
      <c r="D867" s="1" t="s">
        <v>1320</v>
      </c>
      <c r="E867" s="1" t="s">
        <v>1323</v>
      </c>
      <c r="F8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67" s="1">
        <v>0</v>
      </c>
      <c r="H867" s="1">
        <v>0</v>
      </c>
      <c r="I867" s="1">
        <f>Tabela1[[#This Row],[Siblings and Spouses]]+Tabela1[[#This Row],[Parents and Children]]</f>
        <v>0</v>
      </c>
      <c r="J867" s="3">
        <v>7.75</v>
      </c>
      <c r="K8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67" s="2" t="s">
        <v>1319</v>
      </c>
    </row>
    <row r="868" spans="1:12" x14ac:dyDescent="0.25">
      <c r="A868" s="1" t="s">
        <v>1351</v>
      </c>
      <c r="B868" s="1" t="s">
        <v>1337</v>
      </c>
      <c r="C868" s="1" t="s">
        <v>866</v>
      </c>
      <c r="D868" s="1" t="s">
        <v>1320</v>
      </c>
      <c r="E868" s="1">
        <v>2</v>
      </c>
      <c r="F8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68" s="1">
        <v>0</v>
      </c>
      <c r="H868" s="1">
        <v>1</v>
      </c>
      <c r="I868" s="1">
        <f>Tabela1[[#This Row],[Siblings and Spouses]]+Tabela1[[#This Row],[Parents and Children]]</f>
        <v>1</v>
      </c>
      <c r="J868" s="3">
        <v>12.2875</v>
      </c>
      <c r="K8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68" s="2" t="s">
        <v>396</v>
      </c>
    </row>
    <row r="869" spans="1:12" x14ac:dyDescent="0.25">
      <c r="A869" s="1" t="s">
        <v>1351</v>
      </c>
      <c r="B869" s="1" t="s">
        <v>1337</v>
      </c>
      <c r="C869" s="1" t="s">
        <v>867</v>
      </c>
      <c r="D869" s="1" t="s">
        <v>1320</v>
      </c>
      <c r="E869" s="1">
        <v>22</v>
      </c>
      <c r="F8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69" s="1">
        <v>1</v>
      </c>
      <c r="H869" s="1">
        <v>1</v>
      </c>
      <c r="I869" s="1">
        <f>Tabela1[[#This Row],[Siblings and Spouses]]+Tabela1[[#This Row],[Parents and Children]]</f>
        <v>2</v>
      </c>
      <c r="J869" s="3">
        <v>12.2875</v>
      </c>
      <c r="K8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69" s="2" t="s">
        <v>396</v>
      </c>
    </row>
    <row r="870" spans="1:12" x14ac:dyDescent="0.25">
      <c r="A870" s="1" t="s">
        <v>1351</v>
      </c>
      <c r="B870" s="1" t="s">
        <v>1348</v>
      </c>
      <c r="C870" s="1" t="s">
        <v>868</v>
      </c>
      <c r="D870" s="1" t="s">
        <v>1321</v>
      </c>
      <c r="E870" s="1">
        <v>43</v>
      </c>
      <c r="F8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70" s="1">
        <v>0</v>
      </c>
      <c r="H870" s="1">
        <v>0</v>
      </c>
      <c r="I870" s="1">
        <f>Tabela1[[#This Row],[Siblings and Spouses]]+Tabela1[[#This Row],[Parents and Children]]</f>
        <v>0</v>
      </c>
      <c r="J870" s="3">
        <v>6.45</v>
      </c>
      <c r="K8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0" s="2" t="s">
        <v>396</v>
      </c>
    </row>
    <row r="871" spans="1:12" x14ac:dyDescent="0.25">
      <c r="A871" s="1" t="s">
        <v>1351</v>
      </c>
      <c r="B871" s="1" t="s">
        <v>1348</v>
      </c>
      <c r="C871" s="1" t="s">
        <v>869</v>
      </c>
      <c r="D871" s="1" t="s">
        <v>1321</v>
      </c>
      <c r="E871" s="1">
        <v>28</v>
      </c>
      <c r="F8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71" s="1">
        <v>0</v>
      </c>
      <c r="H871" s="1">
        <v>0</v>
      </c>
      <c r="I871" s="1">
        <f>Tabela1[[#This Row],[Siblings and Spouses]]+Tabela1[[#This Row],[Parents and Children]]</f>
        <v>0</v>
      </c>
      <c r="J871" s="3">
        <v>22.524999999999999</v>
      </c>
      <c r="K8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71" s="2" t="s">
        <v>396</v>
      </c>
    </row>
    <row r="872" spans="1:12" x14ac:dyDescent="0.25">
      <c r="A872" s="1" t="s">
        <v>1351</v>
      </c>
      <c r="B872" s="1" t="s">
        <v>1337</v>
      </c>
      <c r="C872" s="1" t="s">
        <v>870</v>
      </c>
      <c r="D872" s="1" t="s">
        <v>1320</v>
      </c>
      <c r="E872" s="1">
        <v>27</v>
      </c>
      <c r="F8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72" s="1">
        <v>0</v>
      </c>
      <c r="H872" s="1">
        <v>0</v>
      </c>
      <c r="I872" s="1">
        <f>Tabela1[[#This Row],[Siblings and Spouses]]+Tabela1[[#This Row],[Parents and Children]]</f>
        <v>0</v>
      </c>
      <c r="J872" s="3">
        <v>7.9249999999999998</v>
      </c>
      <c r="K8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2" s="2" t="s">
        <v>396</v>
      </c>
    </row>
    <row r="873" spans="1:12" x14ac:dyDescent="0.25">
      <c r="A873" s="1" t="s">
        <v>1351</v>
      </c>
      <c r="B873" s="1" t="s">
        <v>1348</v>
      </c>
      <c r="C873" s="1" t="s">
        <v>871</v>
      </c>
      <c r="D873" s="1" t="s">
        <v>1321</v>
      </c>
      <c r="E873" s="1" t="s">
        <v>1323</v>
      </c>
      <c r="F8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73" s="1">
        <v>0</v>
      </c>
      <c r="H873" s="1">
        <v>0</v>
      </c>
      <c r="I873" s="1">
        <f>Tabela1[[#This Row],[Siblings and Spouses]]+Tabela1[[#This Row],[Parents and Children]]</f>
        <v>0</v>
      </c>
      <c r="J873" s="3">
        <v>7.75</v>
      </c>
      <c r="K8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3" s="2" t="s">
        <v>1319</v>
      </c>
    </row>
    <row r="874" spans="1:12" x14ac:dyDescent="0.25">
      <c r="A874" s="1" t="s">
        <v>1351</v>
      </c>
      <c r="B874" s="1" t="s">
        <v>1337</v>
      </c>
      <c r="C874" s="1" t="s">
        <v>872</v>
      </c>
      <c r="D874" s="1" t="s">
        <v>1320</v>
      </c>
      <c r="E874" s="1" t="s">
        <v>1323</v>
      </c>
      <c r="F8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74" s="1">
        <v>0</v>
      </c>
      <c r="H874" s="1">
        <v>0</v>
      </c>
      <c r="I874" s="1">
        <f>Tabela1[[#This Row],[Siblings and Spouses]]+Tabela1[[#This Row],[Parents and Children]]</f>
        <v>0</v>
      </c>
      <c r="J874" s="3">
        <v>8.0500000000000007</v>
      </c>
      <c r="K8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4" s="2" t="s">
        <v>396</v>
      </c>
    </row>
    <row r="875" spans="1:12" x14ac:dyDescent="0.25">
      <c r="A875" s="1" t="s">
        <v>1351</v>
      </c>
      <c r="B875" s="1" t="s">
        <v>1348</v>
      </c>
      <c r="C875" s="1" t="s">
        <v>873</v>
      </c>
      <c r="D875" s="1" t="s">
        <v>1321</v>
      </c>
      <c r="E875" s="1">
        <v>42</v>
      </c>
      <c r="F8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75" s="1">
        <v>0</v>
      </c>
      <c r="H875" s="1">
        <v>0</v>
      </c>
      <c r="I875" s="1">
        <f>Tabela1[[#This Row],[Siblings and Spouses]]+Tabela1[[#This Row],[Parents and Children]]</f>
        <v>0</v>
      </c>
      <c r="J875" s="3">
        <v>7.65</v>
      </c>
      <c r="K8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5" s="2" t="s">
        <v>396</v>
      </c>
    </row>
    <row r="876" spans="1:12" x14ac:dyDescent="0.25">
      <c r="A876" s="1" t="s">
        <v>1351</v>
      </c>
      <c r="B876" s="1" t="s">
        <v>1337</v>
      </c>
      <c r="C876" s="1" t="s">
        <v>874</v>
      </c>
      <c r="D876" s="1" t="s">
        <v>1321</v>
      </c>
      <c r="E876" s="1" t="s">
        <v>1323</v>
      </c>
      <c r="F8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76" s="1">
        <v>0</v>
      </c>
      <c r="H876" s="1">
        <v>0</v>
      </c>
      <c r="I876" s="1">
        <f>Tabela1[[#This Row],[Siblings and Spouses]]+Tabela1[[#This Row],[Parents and Children]]</f>
        <v>0</v>
      </c>
      <c r="J876" s="3">
        <v>7.8875000000000002</v>
      </c>
      <c r="K8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6" s="2" t="s">
        <v>396</v>
      </c>
    </row>
    <row r="877" spans="1:12" x14ac:dyDescent="0.25">
      <c r="A877" s="1" t="s">
        <v>1351</v>
      </c>
      <c r="B877" s="1" t="s">
        <v>1348</v>
      </c>
      <c r="C877" s="1" t="s">
        <v>875</v>
      </c>
      <c r="D877" s="1" t="s">
        <v>1321</v>
      </c>
      <c r="E877" s="1">
        <v>30</v>
      </c>
      <c r="F8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77" s="1">
        <v>0</v>
      </c>
      <c r="H877" s="1">
        <v>0</v>
      </c>
      <c r="I877" s="1">
        <f>Tabela1[[#This Row],[Siblings and Spouses]]+Tabela1[[#This Row],[Parents and Children]]</f>
        <v>0</v>
      </c>
      <c r="J877" s="3">
        <v>7.2291999999999996</v>
      </c>
      <c r="K8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7" s="2" t="s">
        <v>1318</v>
      </c>
    </row>
    <row r="878" spans="1:12" x14ac:dyDescent="0.25">
      <c r="A878" s="1" t="s">
        <v>1351</v>
      </c>
      <c r="B878" s="1" t="s">
        <v>1348</v>
      </c>
      <c r="C878" s="1" t="s">
        <v>876</v>
      </c>
      <c r="D878" s="1" t="s">
        <v>1321</v>
      </c>
      <c r="E878" s="1" t="s">
        <v>1323</v>
      </c>
      <c r="F8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78" s="1">
        <v>0</v>
      </c>
      <c r="H878" s="1">
        <v>0</v>
      </c>
      <c r="I878" s="1">
        <f>Tabela1[[#This Row],[Siblings and Spouses]]+Tabela1[[#This Row],[Parents and Children]]</f>
        <v>0</v>
      </c>
      <c r="J878" s="3">
        <v>7.8958000000000004</v>
      </c>
      <c r="K8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8" s="2" t="s">
        <v>396</v>
      </c>
    </row>
    <row r="879" spans="1:12" x14ac:dyDescent="0.25">
      <c r="A879" s="1" t="s">
        <v>1351</v>
      </c>
      <c r="B879" s="1" t="s">
        <v>1348</v>
      </c>
      <c r="C879" s="1" t="s">
        <v>877</v>
      </c>
      <c r="D879" s="1" t="s">
        <v>1320</v>
      </c>
      <c r="E879" s="1">
        <v>27</v>
      </c>
      <c r="F8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79" s="1">
        <v>1</v>
      </c>
      <c r="H879" s="1">
        <v>0</v>
      </c>
      <c r="I879" s="1">
        <f>Tabela1[[#This Row],[Siblings and Spouses]]+Tabela1[[#This Row],[Parents and Children]]</f>
        <v>1</v>
      </c>
      <c r="J879" s="3">
        <v>7.9249999999999998</v>
      </c>
      <c r="K8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79" s="2" t="s">
        <v>396</v>
      </c>
    </row>
    <row r="880" spans="1:12" x14ac:dyDescent="0.25">
      <c r="A880" s="1" t="s">
        <v>1351</v>
      </c>
      <c r="B880" s="1" t="s">
        <v>1348</v>
      </c>
      <c r="C880" s="1" t="s">
        <v>878</v>
      </c>
      <c r="D880" s="1" t="s">
        <v>1320</v>
      </c>
      <c r="E880" s="1">
        <v>25</v>
      </c>
      <c r="F8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80" s="1">
        <v>1</v>
      </c>
      <c r="H880" s="1">
        <v>0</v>
      </c>
      <c r="I880" s="1">
        <f>Tabela1[[#This Row],[Siblings and Spouses]]+Tabela1[[#This Row],[Parents and Children]]</f>
        <v>1</v>
      </c>
      <c r="J880" s="3">
        <v>7.9249999999999998</v>
      </c>
      <c r="K8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0" s="2" t="s">
        <v>396</v>
      </c>
    </row>
    <row r="881" spans="1:12" x14ac:dyDescent="0.25">
      <c r="A881" s="1" t="s">
        <v>1351</v>
      </c>
      <c r="B881" s="1" t="s">
        <v>1348</v>
      </c>
      <c r="C881" s="1" t="s">
        <v>879</v>
      </c>
      <c r="D881" s="1" t="s">
        <v>1321</v>
      </c>
      <c r="E881" s="1" t="s">
        <v>1323</v>
      </c>
      <c r="F8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81" s="1">
        <v>0</v>
      </c>
      <c r="H881" s="1">
        <v>0</v>
      </c>
      <c r="I881" s="1">
        <f>Tabela1[[#This Row],[Siblings and Spouses]]+Tabela1[[#This Row],[Parents and Children]]</f>
        <v>0</v>
      </c>
      <c r="J881" s="3">
        <v>7.8958000000000004</v>
      </c>
      <c r="K8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1" s="2" t="s">
        <v>396</v>
      </c>
    </row>
    <row r="882" spans="1:12" x14ac:dyDescent="0.25">
      <c r="A882" s="1" t="s">
        <v>1351</v>
      </c>
      <c r="B882" s="1" t="s">
        <v>1337</v>
      </c>
      <c r="C882" s="1" t="s">
        <v>880</v>
      </c>
      <c r="D882" s="1" t="s">
        <v>1321</v>
      </c>
      <c r="E882" s="1">
        <v>29</v>
      </c>
      <c r="F8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82" s="1">
        <v>0</v>
      </c>
      <c r="H882" s="1">
        <v>0</v>
      </c>
      <c r="I882" s="1">
        <f>Tabela1[[#This Row],[Siblings and Spouses]]+Tabela1[[#This Row],[Parents and Children]]</f>
        <v>0</v>
      </c>
      <c r="J882" s="3">
        <v>7.8958000000000004</v>
      </c>
      <c r="K8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2" s="2" t="s">
        <v>1318</v>
      </c>
    </row>
    <row r="883" spans="1:12" x14ac:dyDescent="0.25">
      <c r="A883" s="1" t="s">
        <v>1351</v>
      </c>
      <c r="B883" s="1" t="s">
        <v>1337</v>
      </c>
      <c r="C883" s="1" t="s">
        <v>881</v>
      </c>
      <c r="D883" s="1" t="s">
        <v>1321</v>
      </c>
      <c r="E883" s="1">
        <v>21</v>
      </c>
      <c r="F8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83" s="1">
        <v>0</v>
      </c>
      <c r="H883" s="1">
        <v>0</v>
      </c>
      <c r="I883" s="1">
        <f>Tabela1[[#This Row],[Siblings and Spouses]]+Tabela1[[#This Row],[Parents and Children]]</f>
        <v>0</v>
      </c>
      <c r="J883" s="3">
        <v>7.7957999999999998</v>
      </c>
      <c r="K8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3" s="2" t="s">
        <v>396</v>
      </c>
    </row>
    <row r="884" spans="1:12" x14ac:dyDescent="0.25">
      <c r="A884" s="1" t="s">
        <v>1351</v>
      </c>
      <c r="B884" s="1" t="s">
        <v>1348</v>
      </c>
      <c r="C884" s="1" t="s">
        <v>882</v>
      </c>
      <c r="D884" s="1" t="s">
        <v>1321</v>
      </c>
      <c r="E884" s="1" t="s">
        <v>1323</v>
      </c>
      <c r="F8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84" s="1">
        <v>0</v>
      </c>
      <c r="H884" s="1">
        <v>0</v>
      </c>
      <c r="I884" s="1">
        <f>Tabela1[[#This Row],[Siblings and Spouses]]+Tabela1[[#This Row],[Parents and Children]]</f>
        <v>0</v>
      </c>
      <c r="J884" s="3">
        <v>7.05</v>
      </c>
      <c r="K8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4" s="2" t="s">
        <v>396</v>
      </c>
    </row>
    <row r="885" spans="1:12" x14ac:dyDescent="0.25">
      <c r="A885" s="1" t="s">
        <v>1351</v>
      </c>
      <c r="B885" s="1" t="s">
        <v>1348</v>
      </c>
      <c r="C885" s="1" t="s">
        <v>883</v>
      </c>
      <c r="D885" s="1" t="s">
        <v>1321</v>
      </c>
      <c r="E885" s="1">
        <v>20</v>
      </c>
      <c r="F8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85" s="1">
        <v>0</v>
      </c>
      <c r="H885" s="1">
        <v>0</v>
      </c>
      <c r="I885" s="1">
        <f>Tabela1[[#This Row],[Siblings and Spouses]]+Tabela1[[#This Row],[Parents and Children]]</f>
        <v>0</v>
      </c>
      <c r="J885" s="3">
        <v>7.8541999999999996</v>
      </c>
      <c r="K8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5" s="2" t="s">
        <v>396</v>
      </c>
    </row>
    <row r="886" spans="1:12" x14ac:dyDescent="0.25">
      <c r="A886" s="1" t="s">
        <v>1351</v>
      </c>
      <c r="B886" s="1" t="s">
        <v>1348</v>
      </c>
      <c r="C886" s="1" t="s">
        <v>884</v>
      </c>
      <c r="D886" s="1" t="s">
        <v>1321</v>
      </c>
      <c r="E886" s="1">
        <v>48</v>
      </c>
      <c r="F8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86" s="1">
        <v>0</v>
      </c>
      <c r="H886" s="1">
        <v>0</v>
      </c>
      <c r="I886" s="1">
        <f>Tabela1[[#This Row],[Siblings and Spouses]]+Tabela1[[#This Row],[Parents and Children]]</f>
        <v>0</v>
      </c>
      <c r="J886" s="3">
        <v>7.8541999999999996</v>
      </c>
      <c r="K8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6" s="2" t="s">
        <v>396</v>
      </c>
    </row>
    <row r="887" spans="1:12" x14ac:dyDescent="0.25">
      <c r="A887" s="1" t="s">
        <v>1351</v>
      </c>
      <c r="B887" s="1" t="s">
        <v>1348</v>
      </c>
      <c r="C887" s="1" t="s">
        <v>885</v>
      </c>
      <c r="D887" s="1" t="s">
        <v>1321</v>
      </c>
      <c r="E887" s="1">
        <v>17</v>
      </c>
      <c r="F8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87" s="1">
        <v>1</v>
      </c>
      <c r="H887" s="1">
        <v>0</v>
      </c>
      <c r="I887" s="1">
        <f>Tabela1[[#This Row],[Siblings and Spouses]]+Tabela1[[#This Row],[Parents and Children]]</f>
        <v>1</v>
      </c>
      <c r="J887" s="3">
        <v>7.0541999999999998</v>
      </c>
      <c r="K8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7" s="2" t="s">
        <v>396</v>
      </c>
    </row>
    <row r="888" spans="1:12" x14ac:dyDescent="0.25">
      <c r="A888" s="1" t="s">
        <v>1351</v>
      </c>
      <c r="B888" s="1" t="s">
        <v>1337</v>
      </c>
      <c r="C888" s="1" t="s">
        <v>886</v>
      </c>
      <c r="D888" s="1" t="s">
        <v>1320</v>
      </c>
      <c r="E888" s="1" t="s">
        <v>1323</v>
      </c>
      <c r="F8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88" s="1">
        <v>0</v>
      </c>
      <c r="H888" s="1">
        <v>0</v>
      </c>
      <c r="I888" s="1">
        <f>Tabela1[[#This Row],[Siblings and Spouses]]+Tabela1[[#This Row],[Parents and Children]]</f>
        <v>0</v>
      </c>
      <c r="J888" s="3">
        <v>7.75</v>
      </c>
      <c r="K8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8" s="2" t="s">
        <v>1319</v>
      </c>
    </row>
    <row r="889" spans="1:12" x14ac:dyDescent="0.25">
      <c r="A889" s="1" t="s">
        <v>1351</v>
      </c>
      <c r="B889" s="1" t="s">
        <v>1337</v>
      </c>
      <c r="C889" s="1" t="s">
        <v>887</v>
      </c>
      <c r="D889" s="1" t="s">
        <v>1321</v>
      </c>
      <c r="E889" s="1" t="s">
        <v>1323</v>
      </c>
      <c r="F8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889" s="1">
        <v>0</v>
      </c>
      <c r="H889" s="1">
        <v>0</v>
      </c>
      <c r="I889" s="1">
        <f>Tabela1[[#This Row],[Siblings and Spouses]]+Tabela1[[#This Row],[Parents and Children]]</f>
        <v>0</v>
      </c>
      <c r="J889" s="3">
        <v>8.1125000000000007</v>
      </c>
      <c r="K8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89" s="2" t="s">
        <v>396</v>
      </c>
    </row>
    <row r="890" spans="1:12" x14ac:dyDescent="0.25">
      <c r="A890" s="1" t="s">
        <v>1351</v>
      </c>
      <c r="B890" s="1" t="s">
        <v>1348</v>
      </c>
      <c r="C890" s="1" t="s">
        <v>888</v>
      </c>
      <c r="D890" s="1" t="s">
        <v>1321</v>
      </c>
      <c r="E890" s="1">
        <v>34</v>
      </c>
      <c r="F8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90" s="1">
        <v>0</v>
      </c>
      <c r="H890" s="1">
        <v>0</v>
      </c>
      <c r="I890" s="1">
        <f>Tabela1[[#This Row],[Siblings and Spouses]]+Tabela1[[#This Row],[Parents and Children]]</f>
        <v>0</v>
      </c>
      <c r="J890" s="3">
        <v>6.4958</v>
      </c>
      <c r="K8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0" s="2" t="s">
        <v>396</v>
      </c>
    </row>
    <row r="891" spans="1:12" x14ac:dyDescent="0.25">
      <c r="A891" s="1" t="s">
        <v>1351</v>
      </c>
      <c r="B891" s="1" t="s">
        <v>1337</v>
      </c>
      <c r="C891" s="1" t="s">
        <v>889</v>
      </c>
      <c r="D891" s="1" t="s">
        <v>1321</v>
      </c>
      <c r="E891" s="1">
        <v>26</v>
      </c>
      <c r="F8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91" s="1">
        <v>0</v>
      </c>
      <c r="H891" s="1">
        <v>0</v>
      </c>
      <c r="I891" s="1">
        <f>Tabela1[[#This Row],[Siblings and Spouses]]+Tabela1[[#This Row],[Parents and Children]]</f>
        <v>0</v>
      </c>
      <c r="J891" s="3">
        <v>7.7750000000000004</v>
      </c>
      <c r="K8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1" s="2" t="s">
        <v>396</v>
      </c>
    </row>
    <row r="892" spans="1:12" x14ac:dyDescent="0.25">
      <c r="A892" s="1" t="s">
        <v>1351</v>
      </c>
      <c r="B892" s="1" t="s">
        <v>1348</v>
      </c>
      <c r="C892" s="1" t="s">
        <v>890</v>
      </c>
      <c r="D892" s="1" t="s">
        <v>1321</v>
      </c>
      <c r="E892" s="1">
        <v>22</v>
      </c>
      <c r="F8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92" s="1">
        <v>0</v>
      </c>
      <c r="H892" s="1">
        <v>0</v>
      </c>
      <c r="I892" s="1">
        <f>Tabela1[[#This Row],[Siblings and Spouses]]+Tabela1[[#This Row],[Parents and Children]]</f>
        <v>0</v>
      </c>
      <c r="J892" s="3">
        <v>7.7957999999999998</v>
      </c>
      <c r="K8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2" s="2" t="s">
        <v>396</v>
      </c>
    </row>
    <row r="893" spans="1:12" x14ac:dyDescent="0.25">
      <c r="A893" s="1" t="s">
        <v>1351</v>
      </c>
      <c r="B893" s="1" t="s">
        <v>1348</v>
      </c>
      <c r="C893" s="1" t="s">
        <v>891</v>
      </c>
      <c r="D893" s="1" t="s">
        <v>1321</v>
      </c>
      <c r="E893" s="1">
        <v>33</v>
      </c>
      <c r="F8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93" s="1">
        <v>0</v>
      </c>
      <c r="H893" s="1">
        <v>0</v>
      </c>
      <c r="I893" s="1">
        <f>Tabela1[[#This Row],[Siblings and Spouses]]+Tabela1[[#This Row],[Parents and Children]]</f>
        <v>0</v>
      </c>
      <c r="J893" s="3">
        <v>8.6541999999999994</v>
      </c>
      <c r="K8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3" s="2" t="s">
        <v>396</v>
      </c>
    </row>
    <row r="894" spans="1:12" x14ac:dyDescent="0.25">
      <c r="A894" s="1" t="s">
        <v>1351</v>
      </c>
      <c r="B894" s="1" t="s">
        <v>1348</v>
      </c>
      <c r="C894" s="1" t="s">
        <v>892</v>
      </c>
      <c r="D894" s="1" t="s">
        <v>1321</v>
      </c>
      <c r="E894" s="1">
        <v>31</v>
      </c>
      <c r="F8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94" s="1">
        <v>0</v>
      </c>
      <c r="H894" s="1">
        <v>0</v>
      </c>
      <c r="I894" s="1">
        <f>Tabela1[[#This Row],[Siblings and Spouses]]+Tabela1[[#This Row],[Parents and Children]]</f>
        <v>0</v>
      </c>
      <c r="J894" s="3">
        <v>7.7750000000000004</v>
      </c>
      <c r="K8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4" s="2" t="s">
        <v>396</v>
      </c>
    </row>
    <row r="895" spans="1:12" x14ac:dyDescent="0.25">
      <c r="A895" s="1" t="s">
        <v>1351</v>
      </c>
      <c r="B895" s="1" t="s">
        <v>1348</v>
      </c>
      <c r="C895" s="1" t="s">
        <v>893</v>
      </c>
      <c r="D895" s="1" t="s">
        <v>1321</v>
      </c>
      <c r="E895" s="1">
        <v>29</v>
      </c>
      <c r="F8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895" s="1">
        <v>0</v>
      </c>
      <c r="H895" s="1">
        <v>0</v>
      </c>
      <c r="I895" s="1">
        <f>Tabela1[[#This Row],[Siblings and Spouses]]+Tabela1[[#This Row],[Parents and Children]]</f>
        <v>0</v>
      </c>
      <c r="J895" s="3">
        <v>7.8541999999999996</v>
      </c>
      <c r="K8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5" s="2" t="s">
        <v>396</v>
      </c>
    </row>
    <row r="896" spans="1:12" x14ac:dyDescent="0.25">
      <c r="A896" s="1" t="s">
        <v>1351</v>
      </c>
      <c r="B896" s="1" t="s">
        <v>1337</v>
      </c>
      <c r="C896" s="1" t="s">
        <v>894</v>
      </c>
      <c r="D896" s="1" t="s">
        <v>1321</v>
      </c>
      <c r="E896" s="1">
        <v>4</v>
      </c>
      <c r="F8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96" s="1">
        <v>1</v>
      </c>
      <c r="H896" s="1">
        <v>1</v>
      </c>
      <c r="I896" s="1">
        <f>Tabela1[[#This Row],[Siblings and Spouses]]+Tabela1[[#This Row],[Parents and Children]]</f>
        <v>2</v>
      </c>
      <c r="J896" s="3">
        <v>11.1333</v>
      </c>
      <c r="K8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96" s="2" t="s">
        <v>396</v>
      </c>
    </row>
    <row r="897" spans="1:12" x14ac:dyDescent="0.25">
      <c r="A897" s="1" t="s">
        <v>1351</v>
      </c>
      <c r="B897" s="1" t="s">
        <v>1337</v>
      </c>
      <c r="C897" s="1" t="s">
        <v>895</v>
      </c>
      <c r="D897" s="1" t="s">
        <v>1320</v>
      </c>
      <c r="E897" s="1">
        <v>1</v>
      </c>
      <c r="F8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897" s="1">
        <v>1</v>
      </c>
      <c r="H897" s="1">
        <v>1</v>
      </c>
      <c r="I897" s="1">
        <f>Tabela1[[#This Row],[Siblings and Spouses]]+Tabela1[[#This Row],[Parents and Children]]</f>
        <v>2</v>
      </c>
      <c r="J897" s="3">
        <v>11.1333</v>
      </c>
      <c r="K8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897" s="2" t="s">
        <v>396</v>
      </c>
    </row>
    <row r="898" spans="1:12" x14ac:dyDescent="0.25">
      <c r="A898" s="1" t="s">
        <v>1351</v>
      </c>
      <c r="B898" s="1" t="s">
        <v>1348</v>
      </c>
      <c r="C898" s="1" t="s">
        <v>896</v>
      </c>
      <c r="D898" s="1" t="s">
        <v>1321</v>
      </c>
      <c r="E898" s="1">
        <v>49</v>
      </c>
      <c r="F8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898" s="1">
        <v>0</v>
      </c>
      <c r="H898" s="1">
        <v>0</v>
      </c>
      <c r="I898" s="1">
        <f>Tabela1[[#This Row],[Siblings and Spouses]]+Tabela1[[#This Row],[Parents and Children]]</f>
        <v>0</v>
      </c>
      <c r="J898" s="3">
        <v>0</v>
      </c>
      <c r="K8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8" s="2" t="s">
        <v>396</v>
      </c>
    </row>
    <row r="899" spans="1:12" x14ac:dyDescent="0.25">
      <c r="A899" s="1" t="s">
        <v>1351</v>
      </c>
      <c r="B899" s="1" t="s">
        <v>1348</v>
      </c>
      <c r="C899" s="1" t="s">
        <v>897</v>
      </c>
      <c r="D899" s="1" t="s">
        <v>1321</v>
      </c>
      <c r="E899" s="1">
        <v>33</v>
      </c>
      <c r="F8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899" s="1">
        <v>0</v>
      </c>
      <c r="H899" s="1">
        <v>0</v>
      </c>
      <c r="I899" s="1">
        <f>Tabela1[[#This Row],[Siblings and Spouses]]+Tabela1[[#This Row],[Parents and Children]]</f>
        <v>0</v>
      </c>
      <c r="J899" s="3">
        <v>7.7750000000000004</v>
      </c>
      <c r="K8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899" s="2" t="s">
        <v>396</v>
      </c>
    </row>
    <row r="900" spans="1:12" x14ac:dyDescent="0.25">
      <c r="A900" s="1" t="s">
        <v>1351</v>
      </c>
      <c r="B900" s="1" t="s">
        <v>1348</v>
      </c>
      <c r="C900" s="1" t="s">
        <v>898</v>
      </c>
      <c r="D900" s="1" t="s">
        <v>1321</v>
      </c>
      <c r="E900" s="1">
        <v>19</v>
      </c>
      <c r="F9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00" s="1">
        <v>0</v>
      </c>
      <c r="H900" s="1">
        <v>0</v>
      </c>
      <c r="I900" s="1">
        <f>Tabela1[[#This Row],[Siblings and Spouses]]+Tabela1[[#This Row],[Parents and Children]]</f>
        <v>0</v>
      </c>
      <c r="J900" s="3">
        <v>0</v>
      </c>
      <c r="K9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00" s="2" t="s">
        <v>396</v>
      </c>
    </row>
    <row r="901" spans="1:12" x14ac:dyDescent="0.25">
      <c r="A901" s="1" t="s">
        <v>1351</v>
      </c>
      <c r="B901" s="1" t="s">
        <v>1337</v>
      </c>
      <c r="C901" s="1" t="s">
        <v>899</v>
      </c>
      <c r="D901" s="1" t="s">
        <v>1320</v>
      </c>
      <c r="E901" s="1">
        <v>27</v>
      </c>
      <c r="F9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01" s="1">
        <v>0</v>
      </c>
      <c r="H901" s="1">
        <v>2</v>
      </c>
      <c r="I901" s="1">
        <f>Tabela1[[#This Row],[Siblings and Spouses]]+Tabela1[[#This Row],[Parents and Children]]</f>
        <v>2</v>
      </c>
      <c r="J901" s="3">
        <v>11.1333</v>
      </c>
      <c r="K9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01" s="2" t="s">
        <v>396</v>
      </c>
    </row>
    <row r="902" spans="1:12" x14ac:dyDescent="0.25">
      <c r="A902" s="1" t="s">
        <v>1351</v>
      </c>
      <c r="B902" s="1" t="s">
        <v>1348</v>
      </c>
      <c r="C902" s="1" t="s">
        <v>900</v>
      </c>
      <c r="D902" s="1" t="s">
        <v>1321</v>
      </c>
      <c r="E902" s="1" t="s">
        <v>1323</v>
      </c>
      <c r="F9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02" s="1">
        <v>1</v>
      </c>
      <c r="H902" s="1">
        <v>2</v>
      </c>
      <c r="I902" s="1">
        <f>Tabela1[[#This Row],[Siblings and Spouses]]+Tabela1[[#This Row],[Parents and Children]]</f>
        <v>3</v>
      </c>
      <c r="J902" s="3">
        <v>23.45</v>
      </c>
      <c r="K9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02" s="2" t="s">
        <v>396</v>
      </c>
    </row>
    <row r="903" spans="1:12" x14ac:dyDescent="0.25">
      <c r="A903" s="1" t="s">
        <v>1351</v>
      </c>
      <c r="B903" s="1" t="s">
        <v>1348</v>
      </c>
      <c r="C903" s="1" t="s">
        <v>901</v>
      </c>
      <c r="D903" s="1" t="s">
        <v>1320</v>
      </c>
      <c r="E903" s="1" t="s">
        <v>1323</v>
      </c>
      <c r="F9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03" s="1">
        <v>1</v>
      </c>
      <c r="H903" s="1">
        <v>2</v>
      </c>
      <c r="I903" s="1">
        <f>Tabela1[[#This Row],[Siblings and Spouses]]+Tabela1[[#This Row],[Parents and Children]]</f>
        <v>3</v>
      </c>
      <c r="J903" s="3">
        <v>23.45</v>
      </c>
      <c r="K9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03" s="2" t="s">
        <v>396</v>
      </c>
    </row>
    <row r="904" spans="1:12" x14ac:dyDescent="0.25">
      <c r="A904" s="1" t="s">
        <v>1351</v>
      </c>
      <c r="B904" s="1" t="s">
        <v>1348</v>
      </c>
      <c r="C904" s="1" t="s">
        <v>902</v>
      </c>
      <c r="D904" s="1" t="s">
        <v>1321</v>
      </c>
      <c r="E904" s="1" t="s">
        <v>1323</v>
      </c>
      <c r="F9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04" s="1">
        <v>1</v>
      </c>
      <c r="H904" s="1">
        <v>2</v>
      </c>
      <c r="I904" s="1">
        <f>Tabela1[[#This Row],[Siblings and Spouses]]+Tabela1[[#This Row],[Parents and Children]]</f>
        <v>3</v>
      </c>
      <c r="J904" s="3">
        <v>23.45</v>
      </c>
      <c r="K9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04" s="2" t="s">
        <v>396</v>
      </c>
    </row>
    <row r="905" spans="1:12" x14ac:dyDescent="0.25">
      <c r="A905" s="1" t="s">
        <v>1351</v>
      </c>
      <c r="B905" s="1" t="s">
        <v>1348</v>
      </c>
      <c r="C905" s="1" t="s">
        <v>903</v>
      </c>
      <c r="D905" s="1" t="s">
        <v>1320</v>
      </c>
      <c r="E905" s="1" t="s">
        <v>1323</v>
      </c>
      <c r="F9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05" s="1">
        <v>1</v>
      </c>
      <c r="H905" s="1">
        <v>2</v>
      </c>
      <c r="I905" s="1">
        <f>Tabela1[[#This Row],[Siblings and Spouses]]+Tabela1[[#This Row],[Parents and Children]]</f>
        <v>3</v>
      </c>
      <c r="J905" s="3">
        <v>23.45</v>
      </c>
      <c r="K9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05" s="2" t="s">
        <v>396</v>
      </c>
    </row>
    <row r="906" spans="1:12" x14ac:dyDescent="0.25">
      <c r="A906" s="1" t="s">
        <v>1351</v>
      </c>
      <c r="B906" s="1" t="s">
        <v>1348</v>
      </c>
      <c r="C906" s="1" t="s">
        <v>904</v>
      </c>
      <c r="D906" s="1" t="s">
        <v>1321</v>
      </c>
      <c r="E906" s="1">
        <v>23</v>
      </c>
      <c r="F9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06" s="1">
        <v>0</v>
      </c>
      <c r="H906" s="1">
        <v>0</v>
      </c>
      <c r="I906" s="1">
        <f>Tabela1[[#This Row],[Siblings and Spouses]]+Tabela1[[#This Row],[Parents and Children]]</f>
        <v>0</v>
      </c>
      <c r="J906" s="3">
        <v>7.8958000000000004</v>
      </c>
      <c r="K9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06" s="2" t="s">
        <v>396</v>
      </c>
    </row>
    <row r="907" spans="1:12" x14ac:dyDescent="0.25">
      <c r="A907" s="1" t="s">
        <v>1351</v>
      </c>
      <c r="B907" s="1" t="s">
        <v>1337</v>
      </c>
      <c r="C907" s="1" t="s">
        <v>905</v>
      </c>
      <c r="D907" s="1" t="s">
        <v>1321</v>
      </c>
      <c r="E907" s="1">
        <v>32</v>
      </c>
      <c r="F9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07" s="1">
        <v>0</v>
      </c>
      <c r="H907" s="1">
        <v>0</v>
      </c>
      <c r="I907" s="1">
        <f>Tabela1[[#This Row],[Siblings and Spouses]]+Tabela1[[#This Row],[Parents and Children]]</f>
        <v>0</v>
      </c>
      <c r="J907" s="3">
        <v>7.8541999999999996</v>
      </c>
      <c r="K9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07" s="2" t="s">
        <v>396</v>
      </c>
    </row>
    <row r="908" spans="1:12" x14ac:dyDescent="0.25">
      <c r="A908" s="1" t="s">
        <v>1351</v>
      </c>
      <c r="B908" s="1" t="s">
        <v>1348</v>
      </c>
      <c r="C908" s="1" t="s">
        <v>906</v>
      </c>
      <c r="D908" s="1" t="s">
        <v>1321</v>
      </c>
      <c r="E908" s="1">
        <v>27</v>
      </c>
      <c r="F9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08" s="1">
        <v>0</v>
      </c>
      <c r="H908" s="1">
        <v>0</v>
      </c>
      <c r="I908" s="1">
        <f>Tabela1[[#This Row],[Siblings and Spouses]]+Tabela1[[#This Row],[Parents and Children]]</f>
        <v>0</v>
      </c>
      <c r="J908" s="3">
        <v>7.8541999999999996</v>
      </c>
      <c r="K9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08" s="2" t="s">
        <v>396</v>
      </c>
    </row>
    <row r="909" spans="1:12" x14ac:dyDescent="0.25">
      <c r="A909" s="1" t="s">
        <v>1351</v>
      </c>
      <c r="B909" s="1" t="s">
        <v>1348</v>
      </c>
      <c r="C909" s="1" t="s">
        <v>907</v>
      </c>
      <c r="D909" s="1" t="s">
        <v>1320</v>
      </c>
      <c r="E909" s="1">
        <v>20</v>
      </c>
      <c r="F9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09" s="1">
        <v>1</v>
      </c>
      <c r="H909" s="1">
        <v>0</v>
      </c>
      <c r="I909" s="1">
        <f>Tabela1[[#This Row],[Siblings and Spouses]]+Tabela1[[#This Row],[Parents and Children]]</f>
        <v>1</v>
      </c>
      <c r="J909" s="3">
        <v>9.8249999999999993</v>
      </c>
      <c r="K9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09" s="2" t="s">
        <v>396</v>
      </c>
    </row>
    <row r="910" spans="1:12" x14ac:dyDescent="0.25">
      <c r="A910" s="1" t="s">
        <v>1351</v>
      </c>
      <c r="B910" s="1" t="s">
        <v>1348</v>
      </c>
      <c r="C910" s="1" t="s">
        <v>908</v>
      </c>
      <c r="D910" s="1" t="s">
        <v>1320</v>
      </c>
      <c r="E910" s="1">
        <v>21</v>
      </c>
      <c r="F9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10" s="1">
        <v>1</v>
      </c>
      <c r="H910" s="1">
        <v>0</v>
      </c>
      <c r="I910" s="1">
        <f>Tabela1[[#This Row],[Siblings and Spouses]]+Tabela1[[#This Row],[Parents and Children]]</f>
        <v>1</v>
      </c>
      <c r="J910" s="3">
        <v>9.8249999999999993</v>
      </c>
      <c r="K9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0" s="2" t="s">
        <v>396</v>
      </c>
    </row>
    <row r="911" spans="1:12" x14ac:dyDescent="0.25">
      <c r="A911" s="1" t="s">
        <v>1351</v>
      </c>
      <c r="B911" s="1" t="s">
        <v>1337</v>
      </c>
      <c r="C911" s="1" t="s">
        <v>909</v>
      </c>
      <c r="D911" s="1" t="s">
        <v>1321</v>
      </c>
      <c r="E911" s="1">
        <v>32</v>
      </c>
      <c r="F9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11" s="1">
        <v>0</v>
      </c>
      <c r="H911" s="1">
        <v>0</v>
      </c>
      <c r="I911" s="1">
        <f>Tabela1[[#This Row],[Siblings and Spouses]]+Tabela1[[#This Row],[Parents and Children]]</f>
        <v>0</v>
      </c>
      <c r="J911" s="3">
        <v>7.9249999999999998</v>
      </c>
      <c r="K9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1" s="2" t="s">
        <v>396</v>
      </c>
    </row>
    <row r="912" spans="1:12" x14ac:dyDescent="0.25">
      <c r="A912" s="1" t="s">
        <v>1351</v>
      </c>
      <c r="B912" s="1" t="s">
        <v>1348</v>
      </c>
      <c r="C912" s="1" t="s">
        <v>910</v>
      </c>
      <c r="D912" s="1" t="s">
        <v>1321</v>
      </c>
      <c r="E912" s="1">
        <v>17</v>
      </c>
      <c r="F9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12" s="1">
        <v>0</v>
      </c>
      <c r="H912" s="1">
        <v>0</v>
      </c>
      <c r="I912" s="1">
        <f>Tabela1[[#This Row],[Siblings and Spouses]]+Tabela1[[#This Row],[Parents and Children]]</f>
        <v>0</v>
      </c>
      <c r="J912" s="3">
        <v>7.125</v>
      </c>
      <c r="K9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2" s="2" t="s">
        <v>396</v>
      </c>
    </row>
    <row r="913" spans="1:12" x14ac:dyDescent="0.25">
      <c r="A913" s="1" t="s">
        <v>1351</v>
      </c>
      <c r="B913" s="1" t="s">
        <v>1348</v>
      </c>
      <c r="C913" s="1" t="s">
        <v>911</v>
      </c>
      <c r="D913" s="1" t="s">
        <v>1321</v>
      </c>
      <c r="E913" s="1">
        <v>21</v>
      </c>
      <c r="F9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13" s="1">
        <v>0</v>
      </c>
      <c r="H913" s="1">
        <v>0</v>
      </c>
      <c r="I913" s="1">
        <f>Tabela1[[#This Row],[Siblings and Spouses]]+Tabela1[[#This Row],[Parents and Children]]</f>
        <v>0</v>
      </c>
      <c r="J913" s="3">
        <v>8.4332999999999991</v>
      </c>
      <c r="K9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3" s="2" t="s">
        <v>396</v>
      </c>
    </row>
    <row r="914" spans="1:12" x14ac:dyDescent="0.25">
      <c r="A914" s="1" t="s">
        <v>1351</v>
      </c>
      <c r="B914" s="1" t="s">
        <v>1348</v>
      </c>
      <c r="C914" s="1" t="s">
        <v>912</v>
      </c>
      <c r="D914" s="1" t="s">
        <v>1321</v>
      </c>
      <c r="E914" s="1">
        <v>30</v>
      </c>
      <c r="F9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14" s="1">
        <v>0</v>
      </c>
      <c r="H914" s="1">
        <v>0</v>
      </c>
      <c r="I914" s="1">
        <f>Tabela1[[#This Row],[Siblings and Spouses]]+Tabela1[[#This Row],[Parents and Children]]</f>
        <v>0</v>
      </c>
      <c r="J914" s="3">
        <v>7.8958000000000004</v>
      </c>
      <c r="K9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4" s="2" t="s">
        <v>396</v>
      </c>
    </row>
    <row r="915" spans="1:12" x14ac:dyDescent="0.25">
      <c r="A915" s="1" t="s">
        <v>1351</v>
      </c>
      <c r="B915" s="1" t="s">
        <v>1337</v>
      </c>
      <c r="C915" s="1" t="s">
        <v>913</v>
      </c>
      <c r="D915" s="1" t="s">
        <v>1321</v>
      </c>
      <c r="E915" s="1">
        <v>21</v>
      </c>
      <c r="F9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15" s="1">
        <v>0</v>
      </c>
      <c r="H915" s="1">
        <v>0</v>
      </c>
      <c r="I915" s="1">
        <f>Tabela1[[#This Row],[Siblings and Spouses]]+Tabela1[[#This Row],[Parents and Children]]</f>
        <v>0</v>
      </c>
      <c r="J915" s="3">
        <v>7.7957999999999998</v>
      </c>
      <c r="K9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5" s="2" t="s">
        <v>396</v>
      </c>
    </row>
    <row r="916" spans="1:12" x14ac:dyDescent="0.25">
      <c r="A916" s="1" t="s">
        <v>1351</v>
      </c>
      <c r="B916" s="1" t="s">
        <v>1348</v>
      </c>
      <c r="C916" s="1" t="s">
        <v>914</v>
      </c>
      <c r="D916" s="1" t="s">
        <v>1321</v>
      </c>
      <c r="E916" s="1">
        <v>33</v>
      </c>
      <c r="F9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16" s="1">
        <v>0</v>
      </c>
      <c r="H916" s="1">
        <v>0</v>
      </c>
      <c r="I916" s="1">
        <f>Tabela1[[#This Row],[Siblings and Spouses]]+Tabela1[[#This Row],[Parents and Children]]</f>
        <v>0</v>
      </c>
      <c r="J916" s="3">
        <v>7.8541999999999996</v>
      </c>
      <c r="K9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6" s="2" t="s">
        <v>396</v>
      </c>
    </row>
    <row r="917" spans="1:12" x14ac:dyDescent="0.25">
      <c r="A917" s="1" t="s">
        <v>1351</v>
      </c>
      <c r="B917" s="1" t="s">
        <v>1348</v>
      </c>
      <c r="C917" s="1" t="s">
        <v>915</v>
      </c>
      <c r="D917" s="1" t="s">
        <v>1321</v>
      </c>
      <c r="E917" s="1">
        <v>22</v>
      </c>
      <c r="F9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17" s="1">
        <v>0</v>
      </c>
      <c r="H917" s="1">
        <v>0</v>
      </c>
      <c r="I917" s="1">
        <f>Tabela1[[#This Row],[Siblings and Spouses]]+Tabela1[[#This Row],[Parents and Children]]</f>
        <v>0</v>
      </c>
      <c r="J917" s="3">
        <v>7.5208000000000004</v>
      </c>
      <c r="K9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17" s="2" t="s">
        <v>396</v>
      </c>
    </row>
    <row r="918" spans="1:12" x14ac:dyDescent="0.25">
      <c r="A918" s="1" t="s">
        <v>1351</v>
      </c>
      <c r="B918" s="1" t="s">
        <v>1337</v>
      </c>
      <c r="C918" s="1" t="s">
        <v>916</v>
      </c>
      <c r="D918" s="1" t="s">
        <v>1320</v>
      </c>
      <c r="E918" s="1">
        <v>4</v>
      </c>
      <c r="F9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18" s="1">
        <v>0</v>
      </c>
      <c r="H918" s="1">
        <v>1</v>
      </c>
      <c r="I918" s="1">
        <f>Tabela1[[#This Row],[Siblings and Spouses]]+Tabela1[[#This Row],[Parents and Children]]</f>
        <v>1</v>
      </c>
      <c r="J918" s="3">
        <v>13.416700000000001</v>
      </c>
      <c r="K9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18" s="2" t="s">
        <v>1318</v>
      </c>
    </row>
    <row r="919" spans="1:12" x14ac:dyDescent="0.25">
      <c r="A919" s="1" t="s">
        <v>1351</v>
      </c>
      <c r="B919" s="1" t="s">
        <v>1337</v>
      </c>
      <c r="C919" s="1" t="s">
        <v>917</v>
      </c>
      <c r="D919" s="1" t="s">
        <v>1321</v>
      </c>
      <c r="E919" s="1">
        <v>39</v>
      </c>
      <c r="F9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19" s="1">
        <v>0</v>
      </c>
      <c r="H919" s="1">
        <v>1</v>
      </c>
      <c r="I919" s="1">
        <f>Tabela1[[#This Row],[Siblings and Spouses]]+Tabela1[[#This Row],[Parents and Children]]</f>
        <v>1</v>
      </c>
      <c r="J919" s="3">
        <v>13.416700000000001</v>
      </c>
      <c r="K9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19" s="2" t="s">
        <v>1318</v>
      </c>
    </row>
    <row r="920" spans="1:12" x14ac:dyDescent="0.25">
      <c r="A920" s="1" t="s">
        <v>1351</v>
      </c>
      <c r="B920" s="1" t="s">
        <v>1348</v>
      </c>
      <c r="C920" s="1" t="s">
        <v>918</v>
      </c>
      <c r="D920" s="1" t="s">
        <v>1321</v>
      </c>
      <c r="E920" s="1" t="s">
        <v>1323</v>
      </c>
      <c r="F9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0" s="1">
        <v>0</v>
      </c>
      <c r="H920" s="1">
        <v>0</v>
      </c>
      <c r="I920" s="1">
        <f>Tabela1[[#This Row],[Siblings and Spouses]]+Tabela1[[#This Row],[Parents and Children]]</f>
        <v>0</v>
      </c>
      <c r="J920" s="3">
        <v>7.2291999999999996</v>
      </c>
      <c r="K9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0" s="2" t="s">
        <v>1318</v>
      </c>
    </row>
    <row r="921" spans="1:12" x14ac:dyDescent="0.25">
      <c r="A921" s="1" t="s">
        <v>1351</v>
      </c>
      <c r="B921" s="1" t="s">
        <v>1348</v>
      </c>
      <c r="C921" s="1" t="s">
        <v>919</v>
      </c>
      <c r="D921" s="1" t="s">
        <v>1321</v>
      </c>
      <c r="E921" s="1">
        <v>18.5</v>
      </c>
      <c r="F9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21" s="1">
        <v>0</v>
      </c>
      <c r="H921" s="1">
        <v>0</v>
      </c>
      <c r="I921" s="1">
        <f>Tabela1[[#This Row],[Siblings and Spouses]]+Tabela1[[#This Row],[Parents and Children]]</f>
        <v>0</v>
      </c>
      <c r="J921" s="3">
        <v>7.2291999999999996</v>
      </c>
      <c r="K9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1" s="2" t="s">
        <v>1318</v>
      </c>
    </row>
    <row r="922" spans="1:12" x14ac:dyDescent="0.25">
      <c r="A922" s="1" t="s">
        <v>1351</v>
      </c>
      <c r="B922" s="1" t="s">
        <v>1348</v>
      </c>
      <c r="C922" s="1" t="s">
        <v>920</v>
      </c>
      <c r="D922" s="1" t="s">
        <v>1321</v>
      </c>
      <c r="E922" s="1" t="s">
        <v>1323</v>
      </c>
      <c r="F9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2" s="1">
        <v>0</v>
      </c>
      <c r="H922" s="1">
        <v>0</v>
      </c>
      <c r="I922" s="1">
        <f>Tabela1[[#This Row],[Siblings and Spouses]]+Tabela1[[#This Row],[Parents and Children]]</f>
        <v>0</v>
      </c>
      <c r="J922" s="3">
        <v>7.75</v>
      </c>
      <c r="K9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2" s="2" t="s">
        <v>1319</v>
      </c>
    </row>
    <row r="923" spans="1:12" x14ac:dyDescent="0.25">
      <c r="A923" s="1" t="s">
        <v>1351</v>
      </c>
      <c r="B923" s="1" t="s">
        <v>1348</v>
      </c>
      <c r="C923" s="1" t="s">
        <v>921</v>
      </c>
      <c r="D923" s="1" t="s">
        <v>1321</v>
      </c>
      <c r="E923" s="1" t="s">
        <v>1323</v>
      </c>
      <c r="F9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3" s="1">
        <v>0</v>
      </c>
      <c r="H923" s="1">
        <v>0</v>
      </c>
      <c r="I923" s="1">
        <f>Tabela1[[#This Row],[Siblings and Spouses]]+Tabela1[[#This Row],[Parents and Children]]</f>
        <v>0</v>
      </c>
      <c r="J923" s="3">
        <v>7.25</v>
      </c>
      <c r="K9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3" s="2" t="s">
        <v>396</v>
      </c>
    </row>
    <row r="924" spans="1:12" x14ac:dyDescent="0.25">
      <c r="A924" s="1" t="s">
        <v>1351</v>
      </c>
      <c r="B924" s="1" t="s">
        <v>1337</v>
      </c>
      <c r="C924" s="1" t="s">
        <v>922</v>
      </c>
      <c r="D924" s="1" t="s">
        <v>1320</v>
      </c>
      <c r="E924" s="1" t="s">
        <v>1323</v>
      </c>
      <c r="F9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4" s="1">
        <v>0</v>
      </c>
      <c r="H924" s="1">
        <v>0</v>
      </c>
      <c r="I924" s="1">
        <f>Tabela1[[#This Row],[Siblings and Spouses]]+Tabela1[[#This Row],[Parents and Children]]</f>
        <v>0</v>
      </c>
      <c r="J924" s="3">
        <v>7.75</v>
      </c>
      <c r="K9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4" s="2" t="s">
        <v>1319</v>
      </c>
    </row>
    <row r="925" spans="1:12" x14ac:dyDescent="0.25">
      <c r="A925" s="1" t="s">
        <v>1351</v>
      </c>
      <c r="B925" s="1" t="s">
        <v>1337</v>
      </c>
      <c r="C925" s="1" t="s">
        <v>923</v>
      </c>
      <c r="D925" s="1" t="s">
        <v>1320</v>
      </c>
      <c r="E925" s="1" t="s">
        <v>1323</v>
      </c>
      <c r="F9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5" s="1">
        <v>0</v>
      </c>
      <c r="H925" s="1">
        <v>0</v>
      </c>
      <c r="I925" s="1">
        <f>Tabela1[[#This Row],[Siblings and Spouses]]+Tabela1[[#This Row],[Parents and Children]]</f>
        <v>0</v>
      </c>
      <c r="J925" s="3">
        <v>7.75</v>
      </c>
      <c r="K9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5" s="2" t="s">
        <v>1319</v>
      </c>
    </row>
    <row r="926" spans="1:12" x14ac:dyDescent="0.25">
      <c r="A926" s="1" t="s">
        <v>1351</v>
      </c>
      <c r="B926" s="1" t="s">
        <v>1348</v>
      </c>
      <c r="C926" s="1" t="s">
        <v>924</v>
      </c>
      <c r="D926" s="1" t="s">
        <v>1321</v>
      </c>
      <c r="E926" s="1">
        <v>34.5</v>
      </c>
      <c r="F9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26" s="1">
        <v>0</v>
      </c>
      <c r="H926" s="1">
        <v>0</v>
      </c>
      <c r="I926" s="1">
        <f>Tabela1[[#This Row],[Siblings and Spouses]]+Tabela1[[#This Row],[Parents and Children]]</f>
        <v>0</v>
      </c>
      <c r="J926" s="3">
        <v>7.8292000000000002</v>
      </c>
      <c r="K9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6" s="2" t="s">
        <v>1319</v>
      </c>
    </row>
    <row r="927" spans="1:12" x14ac:dyDescent="0.25">
      <c r="A927" s="1" t="s">
        <v>1351</v>
      </c>
      <c r="B927" s="1" t="s">
        <v>1348</v>
      </c>
      <c r="C927" s="1" t="s">
        <v>924</v>
      </c>
      <c r="D927" s="1" t="s">
        <v>1321</v>
      </c>
      <c r="E927" s="1">
        <v>44</v>
      </c>
      <c r="F9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927" s="1">
        <v>0</v>
      </c>
      <c r="H927" s="1">
        <v>0</v>
      </c>
      <c r="I927" s="1">
        <f>Tabela1[[#This Row],[Siblings and Spouses]]+Tabela1[[#This Row],[Parents and Children]]</f>
        <v>0</v>
      </c>
      <c r="J927" s="3">
        <v>8.0500000000000007</v>
      </c>
      <c r="K9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7" s="2" t="s">
        <v>396</v>
      </c>
    </row>
    <row r="928" spans="1:12" x14ac:dyDescent="0.25">
      <c r="A928" s="1" t="s">
        <v>1351</v>
      </c>
      <c r="B928" s="1" t="s">
        <v>1337</v>
      </c>
      <c r="C928" s="1" t="s">
        <v>925</v>
      </c>
      <c r="D928" s="1" t="s">
        <v>1321</v>
      </c>
      <c r="E928" s="1" t="s">
        <v>1323</v>
      </c>
      <c r="F9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8" s="1">
        <v>0</v>
      </c>
      <c r="H928" s="1">
        <v>0</v>
      </c>
      <c r="I928" s="1">
        <f>Tabela1[[#This Row],[Siblings and Spouses]]+Tabela1[[#This Row],[Parents and Children]]</f>
        <v>0</v>
      </c>
      <c r="J928" s="3">
        <v>7.75</v>
      </c>
      <c r="K9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28" s="2" t="s">
        <v>1319</v>
      </c>
    </row>
    <row r="929" spans="1:12" x14ac:dyDescent="0.25">
      <c r="A929" s="1" t="s">
        <v>1351</v>
      </c>
      <c r="B929" s="1" t="s">
        <v>1348</v>
      </c>
      <c r="C929" s="1" t="s">
        <v>926</v>
      </c>
      <c r="D929" s="1" t="s">
        <v>1321</v>
      </c>
      <c r="E929" s="1" t="s">
        <v>1323</v>
      </c>
      <c r="F9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29" s="1">
        <v>1</v>
      </c>
      <c r="H929" s="1">
        <v>0</v>
      </c>
      <c r="I929" s="1">
        <f>Tabela1[[#This Row],[Siblings and Spouses]]+Tabela1[[#This Row],[Parents and Children]]</f>
        <v>1</v>
      </c>
      <c r="J929" s="3">
        <v>14.4542</v>
      </c>
      <c r="K9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29" s="2" t="s">
        <v>1318</v>
      </c>
    </row>
    <row r="930" spans="1:12" x14ac:dyDescent="0.25">
      <c r="A930" s="1" t="s">
        <v>1351</v>
      </c>
      <c r="B930" s="1" t="s">
        <v>1348</v>
      </c>
      <c r="C930" s="1" t="s">
        <v>927</v>
      </c>
      <c r="D930" s="1" t="s">
        <v>1320</v>
      </c>
      <c r="E930" s="1" t="s">
        <v>1323</v>
      </c>
      <c r="F9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30" s="1">
        <v>1</v>
      </c>
      <c r="H930" s="1">
        <v>0</v>
      </c>
      <c r="I930" s="1">
        <f>Tabela1[[#This Row],[Siblings and Spouses]]+Tabela1[[#This Row],[Parents and Children]]</f>
        <v>1</v>
      </c>
      <c r="J930" s="3">
        <v>14.4542</v>
      </c>
      <c r="K9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30" s="2" t="s">
        <v>1318</v>
      </c>
    </row>
    <row r="931" spans="1:12" x14ac:dyDescent="0.25">
      <c r="A931" s="1" t="s">
        <v>1351</v>
      </c>
      <c r="B931" s="1" t="s">
        <v>1348</v>
      </c>
      <c r="C931" s="1" t="s">
        <v>928</v>
      </c>
      <c r="D931" s="1" t="s">
        <v>1321</v>
      </c>
      <c r="E931" s="1" t="s">
        <v>1323</v>
      </c>
      <c r="F9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31" s="1">
        <v>1</v>
      </c>
      <c r="H931" s="1">
        <v>0</v>
      </c>
      <c r="I931" s="1">
        <f>Tabela1[[#This Row],[Siblings and Spouses]]+Tabela1[[#This Row],[Parents and Children]]</f>
        <v>1</v>
      </c>
      <c r="J931" s="3">
        <v>7.75</v>
      </c>
      <c r="K9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31" s="2" t="s">
        <v>1319</v>
      </c>
    </row>
    <row r="932" spans="1:12" x14ac:dyDescent="0.25">
      <c r="A932" s="1" t="s">
        <v>1351</v>
      </c>
      <c r="B932" s="1" t="s">
        <v>1348</v>
      </c>
      <c r="C932" s="1" t="s">
        <v>929</v>
      </c>
      <c r="D932" s="1" t="s">
        <v>1321</v>
      </c>
      <c r="E932" s="1" t="s">
        <v>1323</v>
      </c>
      <c r="F9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32" s="1">
        <v>1</v>
      </c>
      <c r="H932" s="1">
        <v>0</v>
      </c>
      <c r="I932" s="1">
        <f>Tabela1[[#This Row],[Siblings and Spouses]]+Tabela1[[#This Row],[Parents and Children]]</f>
        <v>1</v>
      </c>
      <c r="J932" s="3">
        <v>7.75</v>
      </c>
      <c r="K9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32" s="2" t="s">
        <v>1319</v>
      </c>
    </row>
    <row r="933" spans="1:12" x14ac:dyDescent="0.25">
      <c r="A933" s="1" t="s">
        <v>1351</v>
      </c>
      <c r="B933" s="1" t="s">
        <v>1348</v>
      </c>
      <c r="C933" s="1" t="s">
        <v>930</v>
      </c>
      <c r="D933" s="1" t="s">
        <v>1321</v>
      </c>
      <c r="E933" s="1" t="s">
        <v>1323</v>
      </c>
      <c r="F9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33" s="1">
        <v>0</v>
      </c>
      <c r="H933" s="1">
        <v>0</v>
      </c>
      <c r="I933" s="1">
        <f>Tabela1[[#This Row],[Siblings and Spouses]]+Tabela1[[#This Row],[Parents and Children]]</f>
        <v>0</v>
      </c>
      <c r="J933" s="3">
        <v>7.7374999999999998</v>
      </c>
      <c r="K9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33" s="2" t="s">
        <v>1319</v>
      </c>
    </row>
    <row r="934" spans="1:12" x14ac:dyDescent="0.25">
      <c r="A934" s="1" t="s">
        <v>1351</v>
      </c>
      <c r="B934" s="1" t="s">
        <v>1348</v>
      </c>
      <c r="C934" s="1" t="s">
        <v>931</v>
      </c>
      <c r="D934" s="1" t="s">
        <v>1320</v>
      </c>
      <c r="E934" s="1">
        <v>22</v>
      </c>
      <c r="F9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34" s="1">
        <v>2</v>
      </c>
      <c r="H934" s="1">
        <v>0</v>
      </c>
      <c r="I934" s="1">
        <f>Tabela1[[#This Row],[Siblings and Spouses]]+Tabela1[[#This Row],[Parents and Children]]</f>
        <v>2</v>
      </c>
      <c r="J934" s="3">
        <v>8.6624999999999996</v>
      </c>
      <c r="K9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34" s="2" t="s">
        <v>396</v>
      </c>
    </row>
    <row r="935" spans="1:12" x14ac:dyDescent="0.25">
      <c r="A935" s="1" t="s">
        <v>1351</v>
      </c>
      <c r="B935" s="1" t="s">
        <v>1348</v>
      </c>
      <c r="C935" s="1" t="s">
        <v>932</v>
      </c>
      <c r="D935" s="1" t="s">
        <v>1321</v>
      </c>
      <c r="E935" s="1">
        <v>26</v>
      </c>
      <c r="F9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35" s="1">
        <v>2</v>
      </c>
      <c r="H935" s="1">
        <v>0</v>
      </c>
      <c r="I935" s="1">
        <f>Tabela1[[#This Row],[Siblings and Spouses]]+Tabela1[[#This Row],[Parents and Children]]</f>
        <v>2</v>
      </c>
      <c r="J935" s="3">
        <v>8.6624999999999996</v>
      </c>
      <c r="K9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35" s="2" t="s">
        <v>396</v>
      </c>
    </row>
    <row r="936" spans="1:12" x14ac:dyDescent="0.25">
      <c r="A936" s="1" t="s">
        <v>1351</v>
      </c>
      <c r="B936" s="1" t="s">
        <v>1337</v>
      </c>
      <c r="C936" s="1" t="s">
        <v>933</v>
      </c>
      <c r="D936" s="1" t="s">
        <v>1320</v>
      </c>
      <c r="E936" s="1">
        <v>4</v>
      </c>
      <c r="F9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36" s="1">
        <v>0</v>
      </c>
      <c r="H936" s="1">
        <v>2</v>
      </c>
      <c r="I936" s="1">
        <f>Tabela1[[#This Row],[Siblings and Spouses]]+Tabela1[[#This Row],[Parents and Children]]</f>
        <v>2</v>
      </c>
      <c r="J936" s="3">
        <v>22.024999999999999</v>
      </c>
      <c r="K9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36" s="2" t="s">
        <v>396</v>
      </c>
    </row>
    <row r="937" spans="1:12" x14ac:dyDescent="0.25">
      <c r="A937" s="1" t="s">
        <v>1351</v>
      </c>
      <c r="B937" s="1" t="s">
        <v>1337</v>
      </c>
      <c r="C937" s="1" t="s">
        <v>934</v>
      </c>
      <c r="D937" s="1" t="s">
        <v>1321</v>
      </c>
      <c r="E937" s="1">
        <v>29</v>
      </c>
      <c r="F9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37" s="1">
        <v>3</v>
      </c>
      <c r="H937" s="1">
        <v>1</v>
      </c>
      <c r="I937" s="1">
        <f>Tabela1[[#This Row],[Siblings and Spouses]]+Tabela1[[#This Row],[Parents and Children]]</f>
        <v>4</v>
      </c>
      <c r="J937" s="3">
        <v>22.024999999999999</v>
      </c>
      <c r="K9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37" s="2" t="s">
        <v>396</v>
      </c>
    </row>
    <row r="938" spans="1:12" x14ac:dyDescent="0.25">
      <c r="A938" s="1" t="s">
        <v>1351</v>
      </c>
      <c r="B938" s="1" t="s">
        <v>1337</v>
      </c>
      <c r="C938" s="1" t="s">
        <v>935</v>
      </c>
      <c r="D938" s="1" t="s">
        <v>1320</v>
      </c>
      <c r="E938" s="1">
        <v>26</v>
      </c>
      <c r="F9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38" s="1">
        <v>1</v>
      </c>
      <c r="H938" s="1">
        <v>1</v>
      </c>
      <c r="I938" s="1">
        <f>Tabela1[[#This Row],[Siblings and Spouses]]+Tabela1[[#This Row],[Parents and Children]]</f>
        <v>2</v>
      </c>
      <c r="J938" s="3">
        <v>22.024999999999999</v>
      </c>
      <c r="K9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38" s="2" t="s">
        <v>396</v>
      </c>
    </row>
    <row r="939" spans="1:12" x14ac:dyDescent="0.25">
      <c r="A939" s="1" t="s">
        <v>1351</v>
      </c>
      <c r="B939" s="1" t="s">
        <v>1348</v>
      </c>
      <c r="C939" s="1" t="s">
        <v>936</v>
      </c>
      <c r="D939" s="1" t="s">
        <v>1320</v>
      </c>
      <c r="E939" s="1">
        <v>1</v>
      </c>
      <c r="F9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39" s="1">
        <v>1</v>
      </c>
      <c r="H939" s="1">
        <v>1</v>
      </c>
      <c r="I939" s="1">
        <f>Tabela1[[#This Row],[Siblings and Spouses]]+Tabela1[[#This Row],[Parents and Children]]</f>
        <v>2</v>
      </c>
      <c r="J939" s="3">
        <v>12.183299999999999</v>
      </c>
      <c r="K9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39" s="2" t="s">
        <v>396</v>
      </c>
    </row>
    <row r="940" spans="1:12" x14ac:dyDescent="0.25">
      <c r="A940" s="1" t="s">
        <v>1351</v>
      </c>
      <c r="B940" s="1" t="s">
        <v>1348</v>
      </c>
      <c r="C940" s="1" t="s">
        <v>937</v>
      </c>
      <c r="D940" s="1" t="s">
        <v>1321</v>
      </c>
      <c r="E940" s="1">
        <v>18</v>
      </c>
      <c r="F9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940" s="1">
        <v>1</v>
      </c>
      <c r="H940" s="1">
        <v>1</v>
      </c>
      <c r="I940" s="1">
        <f>Tabela1[[#This Row],[Siblings and Spouses]]+Tabela1[[#This Row],[Parents and Children]]</f>
        <v>2</v>
      </c>
      <c r="J940" s="3">
        <v>7.8541999999999996</v>
      </c>
      <c r="K9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0" s="2" t="s">
        <v>396</v>
      </c>
    </row>
    <row r="941" spans="1:12" x14ac:dyDescent="0.25">
      <c r="A941" s="1" t="s">
        <v>1351</v>
      </c>
      <c r="B941" s="1" t="s">
        <v>1348</v>
      </c>
      <c r="C941" s="1" t="s">
        <v>938</v>
      </c>
      <c r="D941" s="1" t="s">
        <v>1320</v>
      </c>
      <c r="E941" s="1">
        <v>36</v>
      </c>
      <c r="F9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41" s="1">
        <v>0</v>
      </c>
      <c r="H941" s="1">
        <v>2</v>
      </c>
      <c r="I941" s="1">
        <f>Tabela1[[#This Row],[Siblings and Spouses]]+Tabela1[[#This Row],[Parents and Children]]</f>
        <v>2</v>
      </c>
      <c r="J941" s="3">
        <v>12.183299999999999</v>
      </c>
      <c r="K9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41" s="2" t="s">
        <v>396</v>
      </c>
    </row>
    <row r="942" spans="1:12" x14ac:dyDescent="0.25">
      <c r="A942" s="1" t="s">
        <v>1351</v>
      </c>
      <c r="B942" s="1" t="s">
        <v>1348</v>
      </c>
      <c r="C942" s="1" t="s">
        <v>939</v>
      </c>
      <c r="D942" s="1" t="s">
        <v>1321</v>
      </c>
      <c r="E942" s="1" t="s">
        <v>1323</v>
      </c>
      <c r="F9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42" s="1">
        <v>0</v>
      </c>
      <c r="H942" s="1">
        <v>0</v>
      </c>
      <c r="I942" s="1">
        <f>Tabela1[[#This Row],[Siblings and Spouses]]+Tabela1[[#This Row],[Parents and Children]]</f>
        <v>0</v>
      </c>
      <c r="J942" s="3">
        <v>7.8958000000000004</v>
      </c>
      <c r="K9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2" s="2" t="s">
        <v>1318</v>
      </c>
    </row>
    <row r="943" spans="1:12" x14ac:dyDescent="0.25">
      <c r="A943" s="1" t="s">
        <v>1351</v>
      </c>
      <c r="B943" s="1" t="s">
        <v>1337</v>
      </c>
      <c r="C943" s="1" t="s">
        <v>940</v>
      </c>
      <c r="D943" s="1" t="s">
        <v>1321</v>
      </c>
      <c r="E943" s="1">
        <v>25</v>
      </c>
      <c r="F9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43" s="1">
        <v>0</v>
      </c>
      <c r="H943" s="1">
        <v>0</v>
      </c>
      <c r="I943" s="1">
        <f>Tabela1[[#This Row],[Siblings and Spouses]]+Tabela1[[#This Row],[Parents and Children]]</f>
        <v>0</v>
      </c>
      <c r="J943" s="3">
        <v>7.2291999999999996</v>
      </c>
      <c r="K9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3" s="2" t="s">
        <v>1318</v>
      </c>
    </row>
    <row r="944" spans="1:12" x14ac:dyDescent="0.25">
      <c r="A944" s="1" t="s">
        <v>1351</v>
      </c>
      <c r="B944" s="1" t="s">
        <v>1348</v>
      </c>
      <c r="C944" s="1" t="s">
        <v>941</v>
      </c>
      <c r="D944" s="1" t="s">
        <v>1321</v>
      </c>
      <c r="E944" s="1" t="s">
        <v>1323</v>
      </c>
      <c r="F9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44" s="1">
        <v>0</v>
      </c>
      <c r="H944" s="1">
        <v>0</v>
      </c>
      <c r="I944" s="1">
        <f>Tabela1[[#This Row],[Siblings and Spouses]]+Tabela1[[#This Row],[Parents and Children]]</f>
        <v>0</v>
      </c>
      <c r="J944" s="3">
        <v>7.2249999999999996</v>
      </c>
      <c r="K9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4" s="2" t="s">
        <v>1318</v>
      </c>
    </row>
    <row r="945" spans="1:12" x14ac:dyDescent="0.25">
      <c r="A945" s="1" t="s">
        <v>1351</v>
      </c>
      <c r="B945" s="1" t="s">
        <v>1348</v>
      </c>
      <c r="C945" s="1" t="s">
        <v>942</v>
      </c>
      <c r="D945" s="1" t="s">
        <v>1320</v>
      </c>
      <c r="E945" s="1">
        <v>37</v>
      </c>
      <c r="F9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45" s="1">
        <v>0</v>
      </c>
      <c r="H945" s="1">
        <v>0</v>
      </c>
      <c r="I945" s="1">
        <f>Tabela1[[#This Row],[Siblings and Spouses]]+Tabela1[[#This Row],[Parents and Children]]</f>
        <v>0</v>
      </c>
      <c r="J945" s="3">
        <v>9.5875000000000004</v>
      </c>
      <c r="K9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5" s="2" t="s">
        <v>396</v>
      </c>
    </row>
    <row r="946" spans="1:12" x14ac:dyDescent="0.25">
      <c r="A946" s="1" t="s">
        <v>1351</v>
      </c>
      <c r="B946" s="1" t="s">
        <v>1348</v>
      </c>
      <c r="C946" s="1" t="s">
        <v>943</v>
      </c>
      <c r="D946" s="1" t="s">
        <v>1321</v>
      </c>
      <c r="E946" s="1" t="s">
        <v>1323</v>
      </c>
      <c r="F9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46" s="1">
        <v>0</v>
      </c>
      <c r="H946" s="1">
        <v>0</v>
      </c>
      <c r="I946" s="1">
        <f>Tabela1[[#This Row],[Siblings and Spouses]]+Tabela1[[#This Row],[Parents and Children]]</f>
        <v>0</v>
      </c>
      <c r="J946" s="3">
        <v>7.8958000000000004</v>
      </c>
      <c r="K9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6" s="2" t="s">
        <v>396</v>
      </c>
    </row>
    <row r="947" spans="1:12" x14ac:dyDescent="0.25">
      <c r="A947" s="1" t="s">
        <v>1351</v>
      </c>
      <c r="B947" s="1" t="s">
        <v>1337</v>
      </c>
      <c r="C947" s="1" t="s">
        <v>944</v>
      </c>
      <c r="D947" s="1" t="s">
        <v>1321</v>
      </c>
      <c r="E947" s="1" t="s">
        <v>1323</v>
      </c>
      <c r="F9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47" s="1">
        <v>0</v>
      </c>
      <c r="H947" s="1">
        <v>0</v>
      </c>
      <c r="I947" s="1">
        <f>Tabela1[[#This Row],[Siblings and Spouses]]+Tabela1[[#This Row],[Parents and Children]]</f>
        <v>0</v>
      </c>
      <c r="J947" s="3">
        <v>56.495800000000003</v>
      </c>
      <c r="K9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47" s="2" t="s">
        <v>396</v>
      </c>
    </row>
    <row r="948" spans="1:12" x14ac:dyDescent="0.25">
      <c r="A948" s="1" t="s">
        <v>1351</v>
      </c>
      <c r="B948" s="1" t="s">
        <v>1348</v>
      </c>
      <c r="C948" s="1" t="s">
        <v>945</v>
      </c>
      <c r="D948" s="1" t="s">
        <v>1321</v>
      </c>
      <c r="E948" s="1" t="s">
        <v>1323</v>
      </c>
      <c r="F9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48" s="1">
        <v>0</v>
      </c>
      <c r="H948" s="1">
        <v>0</v>
      </c>
      <c r="I948" s="1">
        <f>Tabela1[[#This Row],[Siblings and Spouses]]+Tabela1[[#This Row],[Parents and Children]]</f>
        <v>0</v>
      </c>
      <c r="J948" s="3">
        <v>56.495800000000003</v>
      </c>
      <c r="K9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48" s="2" t="s">
        <v>396</v>
      </c>
    </row>
    <row r="949" spans="1:12" x14ac:dyDescent="0.25">
      <c r="A949" s="1" t="s">
        <v>1351</v>
      </c>
      <c r="B949" s="1" t="s">
        <v>1337</v>
      </c>
      <c r="C949" s="1" t="s">
        <v>946</v>
      </c>
      <c r="D949" s="1" t="s">
        <v>1320</v>
      </c>
      <c r="E949" s="1">
        <v>22</v>
      </c>
      <c r="F9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49" s="1">
        <v>0</v>
      </c>
      <c r="H949" s="1">
        <v>0</v>
      </c>
      <c r="I949" s="1">
        <f>Tabela1[[#This Row],[Siblings and Spouses]]+Tabela1[[#This Row],[Parents and Children]]</f>
        <v>0</v>
      </c>
      <c r="J949" s="3">
        <v>7.25</v>
      </c>
      <c r="K9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49" s="2" t="s">
        <v>396</v>
      </c>
    </row>
    <row r="950" spans="1:12" x14ac:dyDescent="0.25">
      <c r="A950" s="1" t="s">
        <v>1351</v>
      </c>
      <c r="B950" s="1" t="s">
        <v>1348</v>
      </c>
      <c r="C950" s="1" t="s">
        <v>947</v>
      </c>
      <c r="D950" s="1" t="s">
        <v>1321</v>
      </c>
      <c r="E950" s="1" t="s">
        <v>1323</v>
      </c>
      <c r="F9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50" s="1">
        <v>0</v>
      </c>
      <c r="H950" s="1">
        <v>0</v>
      </c>
      <c r="I950" s="1">
        <f>Tabela1[[#This Row],[Siblings and Spouses]]+Tabela1[[#This Row],[Parents and Children]]</f>
        <v>0</v>
      </c>
      <c r="J950" s="3">
        <v>7.75</v>
      </c>
      <c r="K9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50" s="2" t="s">
        <v>1319</v>
      </c>
    </row>
    <row r="951" spans="1:12" x14ac:dyDescent="0.25">
      <c r="A951" s="1" t="s">
        <v>1351</v>
      </c>
      <c r="B951" s="1" t="s">
        <v>1337</v>
      </c>
      <c r="C951" s="1" t="s">
        <v>948</v>
      </c>
      <c r="D951" s="1" t="s">
        <v>1321</v>
      </c>
      <c r="E951" s="1">
        <v>26</v>
      </c>
      <c r="F9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51" s="1">
        <v>0</v>
      </c>
      <c r="H951" s="1">
        <v>0</v>
      </c>
      <c r="I951" s="1">
        <f>Tabela1[[#This Row],[Siblings and Spouses]]+Tabela1[[#This Row],[Parents and Children]]</f>
        <v>0</v>
      </c>
      <c r="J951" s="3">
        <v>56.495800000000003</v>
      </c>
      <c r="K9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51" s="2" t="s">
        <v>396</v>
      </c>
    </row>
    <row r="952" spans="1:12" x14ac:dyDescent="0.25">
      <c r="A952" s="1" t="s">
        <v>1351</v>
      </c>
      <c r="B952" s="1" t="s">
        <v>1348</v>
      </c>
      <c r="C952" s="1" t="s">
        <v>949</v>
      </c>
      <c r="D952" s="1" t="s">
        <v>1321</v>
      </c>
      <c r="E952" s="1">
        <v>29</v>
      </c>
      <c r="F9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52" s="1">
        <v>0</v>
      </c>
      <c r="H952" s="1">
        <v>0</v>
      </c>
      <c r="I952" s="1">
        <f>Tabela1[[#This Row],[Siblings and Spouses]]+Tabela1[[#This Row],[Parents and Children]]</f>
        <v>0</v>
      </c>
      <c r="J952" s="3">
        <v>9.4832999999999998</v>
      </c>
      <c r="K9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52" s="2" t="s">
        <v>396</v>
      </c>
    </row>
    <row r="953" spans="1:12" x14ac:dyDescent="0.25">
      <c r="A953" s="1" t="s">
        <v>1351</v>
      </c>
      <c r="B953" s="1" t="s">
        <v>1348</v>
      </c>
      <c r="C953" s="1" t="s">
        <v>950</v>
      </c>
      <c r="D953" s="1" t="s">
        <v>1321</v>
      </c>
      <c r="E953" s="1">
        <v>29</v>
      </c>
      <c r="F9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53" s="1">
        <v>0</v>
      </c>
      <c r="H953" s="1">
        <v>0</v>
      </c>
      <c r="I953" s="1">
        <f>Tabela1[[#This Row],[Siblings and Spouses]]+Tabela1[[#This Row],[Parents and Children]]</f>
        <v>0</v>
      </c>
      <c r="J953" s="3">
        <v>7.7750000000000004</v>
      </c>
      <c r="K9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53" s="2" t="s">
        <v>396</v>
      </c>
    </row>
    <row r="954" spans="1:12" x14ac:dyDescent="0.25">
      <c r="A954" s="1" t="s">
        <v>1351</v>
      </c>
      <c r="B954" s="1" t="s">
        <v>1348</v>
      </c>
      <c r="C954" s="1" t="s">
        <v>951</v>
      </c>
      <c r="D954" s="1" t="s">
        <v>1321</v>
      </c>
      <c r="E954" s="1">
        <v>22</v>
      </c>
      <c r="F9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54" s="1">
        <v>0</v>
      </c>
      <c r="H954" s="1">
        <v>0</v>
      </c>
      <c r="I954" s="1">
        <f>Tabela1[[#This Row],[Siblings and Spouses]]+Tabela1[[#This Row],[Parents and Children]]</f>
        <v>0</v>
      </c>
      <c r="J954" s="3">
        <v>7.7750000000000004</v>
      </c>
      <c r="K9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54" s="2" t="s">
        <v>396</v>
      </c>
    </row>
    <row r="955" spans="1:12" x14ac:dyDescent="0.25">
      <c r="A955" s="1" t="s">
        <v>1351</v>
      </c>
      <c r="B955" s="1" t="s">
        <v>1337</v>
      </c>
      <c r="C955" s="1" t="s">
        <v>952</v>
      </c>
      <c r="D955" s="1" t="s">
        <v>1321</v>
      </c>
      <c r="E955" s="1">
        <v>22</v>
      </c>
      <c r="F9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55" s="1">
        <v>0</v>
      </c>
      <c r="H955" s="1">
        <v>0</v>
      </c>
      <c r="I955" s="1">
        <f>Tabela1[[#This Row],[Siblings and Spouses]]+Tabela1[[#This Row],[Parents and Children]]</f>
        <v>0</v>
      </c>
      <c r="J955" s="3">
        <v>7.2249999999999996</v>
      </c>
      <c r="K9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55" s="2" t="s">
        <v>1318</v>
      </c>
    </row>
    <row r="956" spans="1:12" x14ac:dyDescent="0.25">
      <c r="A956" s="1" t="s">
        <v>1351</v>
      </c>
      <c r="B956" s="1" t="s">
        <v>1348</v>
      </c>
      <c r="C956" s="1" t="s">
        <v>953</v>
      </c>
      <c r="D956" s="1" t="s">
        <v>1321</v>
      </c>
      <c r="E956" s="1" t="s">
        <v>1323</v>
      </c>
      <c r="F9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56" s="1">
        <v>3</v>
      </c>
      <c r="H956" s="1">
        <v>1</v>
      </c>
      <c r="I956" s="1">
        <f>Tabela1[[#This Row],[Siblings and Spouses]]+Tabela1[[#This Row],[Parents and Children]]</f>
        <v>4</v>
      </c>
      <c r="J956" s="3">
        <v>25.466699999999999</v>
      </c>
      <c r="K9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56" s="2" t="s">
        <v>396</v>
      </c>
    </row>
    <row r="957" spans="1:12" x14ac:dyDescent="0.25">
      <c r="A957" s="1" t="s">
        <v>1351</v>
      </c>
      <c r="B957" s="1" t="s">
        <v>1348</v>
      </c>
      <c r="C957" s="1" t="s">
        <v>954</v>
      </c>
      <c r="D957" s="1" t="s">
        <v>1320</v>
      </c>
      <c r="E957" s="1" t="s">
        <v>1323</v>
      </c>
      <c r="F9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57" s="1">
        <v>3</v>
      </c>
      <c r="H957" s="1">
        <v>1</v>
      </c>
      <c r="I957" s="1">
        <f>Tabela1[[#This Row],[Siblings and Spouses]]+Tabela1[[#This Row],[Parents and Children]]</f>
        <v>4</v>
      </c>
      <c r="J957" s="3">
        <v>25.466699999999999</v>
      </c>
      <c r="K9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57" s="2" t="s">
        <v>396</v>
      </c>
    </row>
    <row r="958" spans="1:12" x14ac:dyDescent="0.25">
      <c r="A958" s="1" t="s">
        <v>1351</v>
      </c>
      <c r="B958" s="1" t="s">
        <v>1348</v>
      </c>
      <c r="C958" s="1" t="s">
        <v>955</v>
      </c>
      <c r="D958" s="1" t="s">
        <v>1320</v>
      </c>
      <c r="E958" s="1" t="s">
        <v>1323</v>
      </c>
      <c r="F9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58" s="1">
        <v>3</v>
      </c>
      <c r="H958" s="1">
        <v>1</v>
      </c>
      <c r="I958" s="1">
        <f>Tabela1[[#This Row],[Siblings and Spouses]]+Tabela1[[#This Row],[Parents and Children]]</f>
        <v>4</v>
      </c>
      <c r="J958" s="3">
        <v>25.466699999999999</v>
      </c>
      <c r="K9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58" s="2" t="s">
        <v>396</v>
      </c>
    </row>
    <row r="959" spans="1:12" x14ac:dyDescent="0.25">
      <c r="A959" s="1" t="s">
        <v>1351</v>
      </c>
      <c r="B959" s="1" t="s">
        <v>1348</v>
      </c>
      <c r="C959" s="1" t="s">
        <v>956</v>
      </c>
      <c r="D959" s="1" t="s">
        <v>1320</v>
      </c>
      <c r="E959" s="1" t="s">
        <v>1323</v>
      </c>
      <c r="F9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59" s="1">
        <v>3</v>
      </c>
      <c r="H959" s="1">
        <v>1</v>
      </c>
      <c r="I959" s="1">
        <f>Tabela1[[#This Row],[Siblings and Spouses]]+Tabela1[[#This Row],[Parents and Children]]</f>
        <v>4</v>
      </c>
      <c r="J959" s="3">
        <v>25.466699999999999</v>
      </c>
      <c r="K9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59" s="2" t="s">
        <v>396</v>
      </c>
    </row>
    <row r="960" spans="1:12" x14ac:dyDescent="0.25">
      <c r="A960" s="1" t="s">
        <v>1351</v>
      </c>
      <c r="B960" s="1" t="s">
        <v>1348</v>
      </c>
      <c r="C960" s="1" t="s">
        <v>957</v>
      </c>
      <c r="D960" s="1" t="s">
        <v>1320</v>
      </c>
      <c r="E960" s="1" t="s">
        <v>1323</v>
      </c>
      <c r="F9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60" s="1">
        <v>0</v>
      </c>
      <c r="H960" s="1">
        <v>4</v>
      </c>
      <c r="I960" s="1">
        <f>Tabela1[[#This Row],[Siblings and Spouses]]+Tabela1[[#This Row],[Parents and Children]]</f>
        <v>4</v>
      </c>
      <c r="J960" s="3">
        <v>25.466699999999999</v>
      </c>
      <c r="K9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60" s="2" t="s">
        <v>396</v>
      </c>
    </row>
    <row r="961" spans="1:12" x14ac:dyDescent="0.25">
      <c r="A961" s="1" t="s">
        <v>1351</v>
      </c>
      <c r="B961" s="1" t="s">
        <v>1348</v>
      </c>
      <c r="C961" s="1" t="s">
        <v>958</v>
      </c>
      <c r="D961" s="1" t="s">
        <v>1321</v>
      </c>
      <c r="E961" s="1">
        <v>32</v>
      </c>
      <c r="F9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61" s="1">
        <v>0</v>
      </c>
      <c r="H961" s="1">
        <v>0</v>
      </c>
      <c r="I961" s="1">
        <f>Tabela1[[#This Row],[Siblings and Spouses]]+Tabela1[[#This Row],[Parents and Children]]</f>
        <v>0</v>
      </c>
      <c r="J961" s="3">
        <v>7.9249999999999998</v>
      </c>
      <c r="K9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61" s="2" t="s">
        <v>396</v>
      </c>
    </row>
    <row r="962" spans="1:12" x14ac:dyDescent="0.25">
      <c r="A962" s="1" t="s">
        <v>1351</v>
      </c>
      <c r="B962" s="1" t="s">
        <v>1348</v>
      </c>
      <c r="C962" s="1" t="s">
        <v>959</v>
      </c>
      <c r="D962" s="1" t="s">
        <v>1321</v>
      </c>
      <c r="E962" s="1">
        <v>34.5</v>
      </c>
      <c r="F9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62" s="1">
        <v>0</v>
      </c>
      <c r="H962" s="1">
        <v>0</v>
      </c>
      <c r="I962" s="1">
        <f>Tabela1[[#This Row],[Siblings and Spouses]]+Tabela1[[#This Row],[Parents and Children]]</f>
        <v>0</v>
      </c>
      <c r="J962" s="3">
        <v>6.4375</v>
      </c>
      <c r="K9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62" s="2" t="s">
        <v>1318</v>
      </c>
    </row>
    <row r="963" spans="1:12" x14ac:dyDescent="0.25">
      <c r="A963" s="1" t="s">
        <v>1351</v>
      </c>
      <c r="B963" s="1" t="s">
        <v>1348</v>
      </c>
      <c r="C963" s="1" t="s">
        <v>960</v>
      </c>
      <c r="D963" s="1" t="s">
        <v>1320</v>
      </c>
      <c r="E963" s="1" t="s">
        <v>1323</v>
      </c>
      <c r="F9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63" s="1">
        <v>1</v>
      </c>
      <c r="H963" s="1">
        <v>0</v>
      </c>
      <c r="I963" s="1">
        <f>Tabela1[[#This Row],[Siblings and Spouses]]+Tabela1[[#This Row],[Parents and Children]]</f>
        <v>1</v>
      </c>
      <c r="J963" s="3">
        <v>15.5</v>
      </c>
      <c r="K9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63" s="2" t="s">
        <v>1319</v>
      </c>
    </row>
    <row r="964" spans="1:12" x14ac:dyDescent="0.25">
      <c r="A964" s="1" t="s">
        <v>1351</v>
      </c>
      <c r="B964" s="1" t="s">
        <v>1348</v>
      </c>
      <c r="C964" s="1" t="s">
        <v>961</v>
      </c>
      <c r="D964" s="1" t="s">
        <v>1321</v>
      </c>
      <c r="E964" s="1" t="s">
        <v>1323</v>
      </c>
      <c r="F9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64" s="1">
        <v>1</v>
      </c>
      <c r="H964" s="1">
        <v>0</v>
      </c>
      <c r="I964" s="1">
        <f>Tabela1[[#This Row],[Siblings and Spouses]]+Tabela1[[#This Row],[Parents and Children]]</f>
        <v>1</v>
      </c>
      <c r="J964" s="3">
        <v>15.5</v>
      </c>
      <c r="K9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64" s="2" t="s">
        <v>1319</v>
      </c>
    </row>
    <row r="965" spans="1:12" x14ac:dyDescent="0.25">
      <c r="A965" s="1" t="s">
        <v>1351</v>
      </c>
      <c r="B965" s="1" t="s">
        <v>1348</v>
      </c>
      <c r="C965" s="1" t="s">
        <v>962</v>
      </c>
      <c r="D965" s="1" t="s">
        <v>1321</v>
      </c>
      <c r="E965" s="1">
        <v>36</v>
      </c>
      <c r="F9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65" s="1">
        <v>0</v>
      </c>
      <c r="H965" s="1">
        <v>0</v>
      </c>
      <c r="I965" s="1">
        <f>Tabela1[[#This Row],[Siblings and Spouses]]+Tabela1[[#This Row],[Parents and Children]]</f>
        <v>0</v>
      </c>
      <c r="J965" s="3">
        <v>0</v>
      </c>
      <c r="K9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65" s="2" t="s">
        <v>396</v>
      </c>
    </row>
    <row r="966" spans="1:12" x14ac:dyDescent="0.25">
      <c r="A966" s="1" t="s">
        <v>1351</v>
      </c>
      <c r="B966" s="1" t="s">
        <v>1348</v>
      </c>
      <c r="C966" s="1" t="s">
        <v>963</v>
      </c>
      <c r="D966" s="1" t="s">
        <v>1321</v>
      </c>
      <c r="E966" s="1">
        <v>39</v>
      </c>
      <c r="F9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66" s="1">
        <v>0</v>
      </c>
      <c r="H966" s="1">
        <v>0</v>
      </c>
      <c r="I966" s="1">
        <f>Tabela1[[#This Row],[Siblings and Spouses]]+Tabela1[[#This Row],[Parents and Children]]</f>
        <v>0</v>
      </c>
      <c r="J966" s="3">
        <v>24.15</v>
      </c>
      <c r="K9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66" s="2" t="s">
        <v>396</v>
      </c>
    </row>
    <row r="967" spans="1:12" x14ac:dyDescent="0.25">
      <c r="A967" s="1" t="s">
        <v>1351</v>
      </c>
      <c r="B967" s="1" t="s">
        <v>1348</v>
      </c>
      <c r="C967" s="1" t="s">
        <v>964</v>
      </c>
      <c r="D967" s="1" t="s">
        <v>1321</v>
      </c>
      <c r="E967" s="1">
        <v>24</v>
      </c>
      <c r="F9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67" s="1">
        <v>0</v>
      </c>
      <c r="H967" s="1">
        <v>0</v>
      </c>
      <c r="I967" s="1">
        <f>Tabela1[[#This Row],[Siblings and Spouses]]+Tabela1[[#This Row],[Parents and Children]]</f>
        <v>0</v>
      </c>
      <c r="J967" s="3">
        <v>9.5</v>
      </c>
      <c r="K9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67" s="2" t="s">
        <v>396</v>
      </c>
    </row>
    <row r="968" spans="1:12" x14ac:dyDescent="0.25">
      <c r="A968" s="1" t="s">
        <v>1351</v>
      </c>
      <c r="B968" s="1" t="s">
        <v>1348</v>
      </c>
      <c r="C968" s="1" t="s">
        <v>965</v>
      </c>
      <c r="D968" s="1" t="s">
        <v>1320</v>
      </c>
      <c r="E968" s="1">
        <v>25</v>
      </c>
      <c r="F9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68" s="1">
        <v>0</v>
      </c>
      <c r="H968" s="1">
        <v>0</v>
      </c>
      <c r="I968" s="1">
        <f>Tabela1[[#This Row],[Siblings and Spouses]]+Tabela1[[#This Row],[Parents and Children]]</f>
        <v>0</v>
      </c>
      <c r="J968" s="3">
        <v>7.7750000000000004</v>
      </c>
      <c r="K9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68" s="2" t="s">
        <v>396</v>
      </c>
    </row>
    <row r="969" spans="1:12" x14ac:dyDescent="0.25">
      <c r="A969" s="1" t="s">
        <v>1351</v>
      </c>
      <c r="B969" s="1" t="s">
        <v>1348</v>
      </c>
      <c r="C969" s="1" t="s">
        <v>966</v>
      </c>
      <c r="D969" s="1" t="s">
        <v>1320</v>
      </c>
      <c r="E969" s="1">
        <v>45</v>
      </c>
      <c r="F9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969" s="1">
        <v>0</v>
      </c>
      <c r="H969" s="1">
        <v>0</v>
      </c>
      <c r="I969" s="1">
        <f>Tabela1[[#This Row],[Siblings and Spouses]]+Tabela1[[#This Row],[Parents and Children]]</f>
        <v>0</v>
      </c>
      <c r="J969" s="3">
        <v>7.75</v>
      </c>
      <c r="K9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69" s="2" t="s">
        <v>396</v>
      </c>
    </row>
    <row r="970" spans="1:12" x14ac:dyDescent="0.25">
      <c r="A970" s="1" t="s">
        <v>1351</v>
      </c>
      <c r="B970" s="1" t="s">
        <v>1348</v>
      </c>
      <c r="C970" s="1" t="s">
        <v>967</v>
      </c>
      <c r="D970" s="1" t="s">
        <v>1321</v>
      </c>
      <c r="E970" s="1">
        <v>36</v>
      </c>
      <c r="F9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70" s="1">
        <v>1</v>
      </c>
      <c r="H970" s="1">
        <v>0</v>
      </c>
      <c r="I970" s="1">
        <f>Tabela1[[#This Row],[Siblings and Spouses]]+Tabela1[[#This Row],[Parents and Children]]</f>
        <v>1</v>
      </c>
      <c r="J970" s="3">
        <v>15.55</v>
      </c>
      <c r="K9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70" s="2" t="s">
        <v>396</v>
      </c>
    </row>
    <row r="971" spans="1:12" x14ac:dyDescent="0.25">
      <c r="A971" s="1" t="s">
        <v>1351</v>
      </c>
      <c r="B971" s="1" t="s">
        <v>1348</v>
      </c>
      <c r="C971" s="1" t="s">
        <v>968</v>
      </c>
      <c r="D971" s="1" t="s">
        <v>1320</v>
      </c>
      <c r="E971" s="1">
        <v>30</v>
      </c>
      <c r="F9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71" s="1">
        <v>1</v>
      </c>
      <c r="H971" s="1">
        <v>0</v>
      </c>
      <c r="I971" s="1">
        <f>Tabela1[[#This Row],[Siblings and Spouses]]+Tabela1[[#This Row],[Parents and Children]]</f>
        <v>1</v>
      </c>
      <c r="J971" s="3">
        <v>15.55</v>
      </c>
      <c r="K9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71" s="2" t="s">
        <v>396</v>
      </c>
    </row>
    <row r="972" spans="1:12" x14ac:dyDescent="0.25">
      <c r="A972" s="1" t="s">
        <v>1351</v>
      </c>
      <c r="B972" s="1" t="s">
        <v>1337</v>
      </c>
      <c r="C972" s="1" t="s">
        <v>969</v>
      </c>
      <c r="D972" s="1" t="s">
        <v>1321</v>
      </c>
      <c r="E972" s="1">
        <v>20</v>
      </c>
      <c r="F9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72" s="1">
        <v>1</v>
      </c>
      <c r="H972" s="1">
        <v>0</v>
      </c>
      <c r="I972" s="1">
        <f>Tabela1[[#This Row],[Siblings and Spouses]]+Tabela1[[#This Row],[Parents and Children]]</f>
        <v>1</v>
      </c>
      <c r="J972" s="3">
        <v>7.9249999999999998</v>
      </c>
      <c r="K9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72" s="2" t="s">
        <v>396</v>
      </c>
    </row>
    <row r="973" spans="1:12" x14ac:dyDescent="0.25">
      <c r="A973" s="1" t="s">
        <v>1351</v>
      </c>
      <c r="B973" s="1" t="s">
        <v>1348</v>
      </c>
      <c r="C973" s="1" t="s">
        <v>970</v>
      </c>
      <c r="D973" s="1" t="s">
        <v>1321</v>
      </c>
      <c r="E973" s="1" t="s">
        <v>1323</v>
      </c>
      <c r="F9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73" s="1">
        <v>0</v>
      </c>
      <c r="H973" s="1">
        <v>0</v>
      </c>
      <c r="I973" s="1">
        <f>Tabela1[[#This Row],[Siblings and Spouses]]+Tabela1[[#This Row],[Parents and Children]]</f>
        <v>0</v>
      </c>
      <c r="J973" s="3">
        <v>7.8792</v>
      </c>
      <c r="K9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73" s="2" t="s">
        <v>1319</v>
      </c>
    </row>
    <row r="974" spans="1:12" x14ac:dyDescent="0.25">
      <c r="A974" s="1" t="s">
        <v>1351</v>
      </c>
      <c r="B974" s="1" t="s">
        <v>1348</v>
      </c>
      <c r="C974" s="1" t="s">
        <v>971</v>
      </c>
      <c r="D974" s="1" t="s">
        <v>1321</v>
      </c>
      <c r="E974" s="1">
        <v>28</v>
      </c>
      <c r="F9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74" s="1">
        <v>0</v>
      </c>
      <c r="H974" s="1">
        <v>0</v>
      </c>
      <c r="I974" s="1">
        <f>Tabela1[[#This Row],[Siblings and Spouses]]+Tabela1[[#This Row],[Parents and Children]]</f>
        <v>0</v>
      </c>
      <c r="J974" s="3">
        <v>56.495800000000003</v>
      </c>
      <c r="K9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974" s="2" t="s">
        <v>396</v>
      </c>
    </row>
    <row r="975" spans="1:12" x14ac:dyDescent="0.25">
      <c r="A975" s="1" t="s">
        <v>1351</v>
      </c>
      <c r="B975" s="1" t="s">
        <v>1348</v>
      </c>
      <c r="C975" s="1" t="s">
        <v>972</v>
      </c>
      <c r="D975" s="1" t="s">
        <v>1321</v>
      </c>
      <c r="E975" s="1" t="s">
        <v>1323</v>
      </c>
      <c r="F9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75" s="1">
        <v>0</v>
      </c>
      <c r="H975" s="1">
        <v>0</v>
      </c>
      <c r="I975" s="1">
        <f>Tabela1[[#This Row],[Siblings and Spouses]]+Tabela1[[#This Row],[Parents and Children]]</f>
        <v>0</v>
      </c>
      <c r="J975" s="3">
        <v>7.55</v>
      </c>
      <c r="K9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75" s="2" t="s">
        <v>396</v>
      </c>
    </row>
    <row r="976" spans="1:12" x14ac:dyDescent="0.25">
      <c r="A976" s="1" t="s">
        <v>1351</v>
      </c>
      <c r="B976" s="1" t="s">
        <v>1348</v>
      </c>
      <c r="C976" s="1" t="s">
        <v>973</v>
      </c>
      <c r="D976" s="1" t="s">
        <v>1321</v>
      </c>
      <c r="E976" s="1">
        <v>30</v>
      </c>
      <c r="F9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76" s="1">
        <v>1</v>
      </c>
      <c r="H976" s="1">
        <v>0</v>
      </c>
      <c r="I976" s="1">
        <f>Tabela1[[#This Row],[Siblings and Spouses]]+Tabela1[[#This Row],[Parents and Children]]</f>
        <v>1</v>
      </c>
      <c r="J976" s="3">
        <v>16.100000000000001</v>
      </c>
      <c r="K9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76" s="2" t="s">
        <v>396</v>
      </c>
    </row>
    <row r="977" spans="1:12" x14ac:dyDescent="0.25">
      <c r="A977" s="1" t="s">
        <v>1351</v>
      </c>
      <c r="B977" s="1" t="s">
        <v>1348</v>
      </c>
      <c r="C977" s="1" t="s">
        <v>974</v>
      </c>
      <c r="D977" s="1" t="s">
        <v>1320</v>
      </c>
      <c r="E977" s="1">
        <v>26</v>
      </c>
      <c r="F9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77" s="1">
        <v>1</v>
      </c>
      <c r="H977" s="1">
        <v>0</v>
      </c>
      <c r="I977" s="1">
        <f>Tabela1[[#This Row],[Siblings and Spouses]]+Tabela1[[#This Row],[Parents and Children]]</f>
        <v>1</v>
      </c>
      <c r="J977" s="3">
        <v>16.100000000000001</v>
      </c>
      <c r="K9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977" s="2" t="s">
        <v>396</v>
      </c>
    </row>
    <row r="978" spans="1:12" x14ac:dyDescent="0.25">
      <c r="A978" s="1" t="s">
        <v>1351</v>
      </c>
      <c r="B978" s="1" t="s">
        <v>1348</v>
      </c>
      <c r="C978" s="1" t="s">
        <v>975</v>
      </c>
      <c r="D978" s="1" t="s">
        <v>1321</v>
      </c>
      <c r="E978" s="1" t="s">
        <v>1323</v>
      </c>
      <c r="F9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78" s="1">
        <v>0</v>
      </c>
      <c r="H978" s="1">
        <v>0</v>
      </c>
      <c r="I978" s="1">
        <f>Tabela1[[#This Row],[Siblings and Spouses]]+Tabela1[[#This Row],[Parents and Children]]</f>
        <v>0</v>
      </c>
      <c r="J978" s="3">
        <v>7.8792</v>
      </c>
      <c r="K9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78" s="2" t="s">
        <v>396</v>
      </c>
    </row>
    <row r="979" spans="1:12" x14ac:dyDescent="0.25">
      <c r="A979" s="1" t="s">
        <v>1351</v>
      </c>
      <c r="B979" s="1" t="s">
        <v>1348</v>
      </c>
      <c r="C979" s="1" t="s">
        <v>976</v>
      </c>
      <c r="D979" s="1" t="s">
        <v>1321</v>
      </c>
      <c r="E979" s="1">
        <v>20.5</v>
      </c>
      <c r="F9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79" s="1">
        <v>0</v>
      </c>
      <c r="H979" s="1">
        <v>0</v>
      </c>
      <c r="I979" s="1">
        <f>Tabela1[[#This Row],[Siblings and Spouses]]+Tabela1[[#This Row],[Parents and Children]]</f>
        <v>0</v>
      </c>
      <c r="J979" s="3">
        <v>7.25</v>
      </c>
      <c r="K9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79" s="2" t="s">
        <v>396</v>
      </c>
    </row>
    <row r="980" spans="1:12" x14ac:dyDescent="0.25">
      <c r="A980" s="1" t="s">
        <v>1351</v>
      </c>
      <c r="B980" s="1" t="s">
        <v>1337</v>
      </c>
      <c r="C980" s="1" t="s">
        <v>977</v>
      </c>
      <c r="D980" s="1" t="s">
        <v>1321</v>
      </c>
      <c r="E980" s="1">
        <v>27</v>
      </c>
      <c r="F9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80" s="1">
        <v>0</v>
      </c>
      <c r="H980" s="1">
        <v>0</v>
      </c>
      <c r="I980" s="1">
        <f>Tabela1[[#This Row],[Siblings and Spouses]]+Tabela1[[#This Row],[Parents and Children]]</f>
        <v>0</v>
      </c>
      <c r="J980" s="3">
        <v>8.6624999999999996</v>
      </c>
      <c r="K9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0" s="2" t="s">
        <v>396</v>
      </c>
    </row>
    <row r="981" spans="1:12" x14ac:dyDescent="0.25">
      <c r="A981" s="1" t="s">
        <v>1351</v>
      </c>
      <c r="B981" s="1" t="s">
        <v>1348</v>
      </c>
      <c r="C981" s="1" t="s">
        <v>978</v>
      </c>
      <c r="D981" s="1" t="s">
        <v>1321</v>
      </c>
      <c r="E981" s="1">
        <v>51</v>
      </c>
      <c r="F9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981" s="1">
        <v>0</v>
      </c>
      <c r="H981" s="1">
        <v>0</v>
      </c>
      <c r="I981" s="1">
        <f>Tabela1[[#This Row],[Siblings and Spouses]]+Tabela1[[#This Row],[Parents and Children]]</f>
        <v>0</v>
      </c>
      <c r="J981" s="3">
        <v>7.0541999999999998</v>
      </c>
      <c r="K9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1" s="2" t="s">
        <v>396</v>
      </c>
    </row>
    <row r="982" spans="1:12" x14ac:dyDescent="0.25">
      <c r="A982" s="1" t="s">
        <v>1351</v>
      </c>
      <c r="B982" s="1" t="s">
        <v>1337</v>
      </c>
      <c r="C982" s="1" t="s">
        <v>979</v>
      </c>
      <c r="D982" s="1" t="s">
        <v>1320</v>
      </c>
      <c r="E982" s="1">
        <v>23</v>
      </c>
      <c r="F9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82" s="1">
        <v>0</v>
      </c>
      <c r="H982" s="1">
        <v>0</v>
      </c>
      <c r="I982" s="1">
        <f>Tabela1[[#This Row],[Siblings and Spouses]]+Tabela1[[#This Row],[Parents and Children]]</f>
        <v>0</v>
      </c>
      <c r="J982" s="3">
        <v>7.8541999999999996</v>
      </c>
      <c r="K9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2" s="2" t="s">
        <v>396</v>
      </c>
    </row>
    <row r="983" spans="1:12" x14ac:dyDescent="0.25">
      <c r="A983" s="1" t="s">
        <v>1351</v>
      </c>
      <c r="B983" s="1" t="s">
        <v>1337</v>
      </c>
      <c r="C983" s="1" t="s">
        <v>980</v>
      </c>
      <c r="D983" s="1" t="s">
        <v>1321</v>
      </c>
      <c r="E983" s="1">
        <v>32</v>
      </c>
      <c r="F9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83" s="1">
        <v>0</v>
      </c>
      <c r="H983" s="1">
        <v>0</v>
      </c>
      <c r="I983" s="1">
        <f>Tabela1[[#This Row],[Siblings and Spouses]]+Tabela1[[#This Row],[Parents and Children]]</f>
        <v>0</v>
      </c>
      <c r="J983" s="3">
        <v>7.5792000000000002</v>
      </c>
      <c r="K9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3" s="2" t="s">
        <v>396</v>
      </c>
    </row>
    <row r="984" spans="1:12" x14ac:dyDescent="0.25">
      <c r="A984" s="1" t="s">
        <v>1351</v>
      </c>
      <c r="B984" s="1" t="s">
        <v>1348</v>
      </c>
      <c r="C984" s="1" t="s">
        <v>981</v>
      </c>
      <c r="D984" s="1" t="s">
        <v>1321</v>
      </c>
      <c r="E984" s="1" t="s">
        <v>1323</v>
      </c>
      <c r="F9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84" s="1">
        <v>0</v>
      </c>
      <c r="H984" s="1">
        <v>0</v>
      </c>
      <c r="I984" s="1">
        <f>Tabela1[[#This Row],[Siblings and Spouses]]+Tabela1[[#This Row],[Parents and Children]]</f>
        <v>0</v>
      </c>
      <c r="J984" s="3">
        <v>7.8958000000000004</v>
      </c>
      <c r="K9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4" s="2" t="s">
        <v>396</v>
      </c>
    </row>
    <row r="985" spans="1:12" x14ac:dyDescent="0.25">
      <c r="A985" s="1" t="s">
        <v>1351</v>
      </c>
      <c r="B985" s="1" t="s">
        <v>1348</v>
      </c>
      <c r="C985" s="1" t="s">
        <v>982</v>
      </c>
      <c r="D985" s="1" t="s">
        <v>1321</v>
      </c>
      <c r="E985" s="1" t="s">
        <v>1323</v>
      </c>
      <c r="F9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85" s="1">
        <v>0</v>
      </c>
      <c r="H985" s="1">
        <v>0</v>
      </c>
      <c r="I985" s="1">
        <f>Tabela1[[#This Row],[Siblings and Spouses]]+Tabela1[[#This Row],[Parents and Children]]</f>
        <v>0</v>
      </c>
      <c r="J985" s="3">
        <v>7.55</v>
      </c>
      <c r="K9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5" s="2" t="s">
        <v>396</v>
      </c>
    </row>
    <row r="986" spans="1:12" x14ac:dyDescent="0.25">
      <c r="A986" s="1" t="s">
        <v>1351</v>
      </c>
      <c r="B986" s="1" t="s">
        <v>1337</v>
      </c>
      <c r="C986" s="1" t="s">
        <v>983</v>
      </c>
      <c r="D986" s="1" t="s">
        <v>1320</v>
      </c>
      <c r="E986" s="1" t="s">
        <v>1323</v>
      </c>
      <c r="F9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86" s="1">
        <v>0</v>
      </c>
      <c r="H986" s="1">
        <v>0</v>
      </c>
      <c r="I986" s="1">
        <f>Tabela1[[#This Row],[Siblings and Spouses]]+Tabela1[[#This Row],[Parents and Children]]</f>
        <v>0</v>
      </c>
      <c r="J986" s="3">
        <v>7.75</v>
      </c>
      <c r="K9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6" s="2" t="s">
        <v>1319</v>
      </c>
    </row>
    <row r="987" spans="1:12" x14ac:dyDescent="0.25">
      <c r="A987" s="1" t="s">
        <v>1351</v>
      </c>
      <c r="B987" s="1" t="s">
        <v>1337</v>
      </c>
      <c r="C987" s="1" t="s">
        <v>984</v>
      </c>
      <c r="D987" s="1" t="s">
        <v>1321</v>
      </c>
      <c r="E987" s="1">
        <v>24</v>
      </c>
      <c r="F9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87" s="1">
        <v>0</v>
      </c>
      <c r="H987" s="1">
        <v>0</v>
      </c>
      <c r="I987" s="1">
        <f>Tabela1[[#This Row],[Siblings and Spouses]]+Tabela1[[#This Row],[Parents and Children]]</f>
        <v>0</v>
      </c>
      <c r="J987" s="3">
        <v>7.1417000000000002</v>
      </c>
      <c r="K9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7" s="2" t="s">
        <v>396</v>
      </c>
    </row>
    <row r="988" spans="1:12" x14ac:dyDescent="0.25">
      <c r="A988" s="1" t="s">
        <v>1351</v>
      </c>
      <c r="B988" s="1" t="s">
        <v>1348</v>
      </c>
      <c r="C988" s="1" t="s">
        <v>985</v>
      </c>
      <c r="D988" s="1" t="s">
        <v>1321</v>
      </c>
      <c r="E988" s="1">
        <v>22</v>
      </c>
      <c r="F9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88" s="1">
        <v>0</v>
      </c>
      <c r="H988" s="1">
        <v>0</v>
      </c>
      <c r="I988" s="1">
        <f>Tabela1[[#This Row],[Siblings and Spouses]]+Tabela1[[#This Row],[Parents and Children]]</f>
        <v>0</v>
      </c>
      <c r="J988" s="3">
        <v>7.125</v>
      </c>
      <c r="K9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8" s="2" t="s">
        <v>396</v>
      </c>
    </row>
    <row r="989" spans="1:12" x14ac:dyDescent="0.25">
      <c r="A989" s="1" t="s">
        <v>1351</v>
      </c>
      <c r="B989" s="1" t="s">
        <v>1348</v>
      </c>
      <c r="C989" s="1" t="s">
        <v>986</v>
      </c>
      <c r="D989" s="1" t="s">
        <v>1320</v>
      </c>
      <c r="E989" s="1" t="s">
        <v>1323</v>
      </c>
      <c r="F9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89" s="1">
        <v>0</v>
      </c>
      <c r="H989" s="1">
        <v>0</v>
      </c>
      <c r="I989" s="1">
        <f>Tabela1[[#This Row],[Siblings and Spouses]]+Tabela1[[#This Row],[Parents and Children]]</f>
        <v>0</v>
      </c>
      <c r="J989" s="3">
        <v>7.8792</v>
      </c>
      <c r="K9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89" s="2" t="s">
        <v>1319</v>
      </c>
    </row>
    <row r="990" spans="1:12" x14ac:dyDescent="0.25">
      <c r="A990" s="1" t="s">
        <v>1351</v>
      </c>
      <c r="B990" s="1" t="s">
        <v>1348</v>
      </c>
      <c r="C990" s="1" t="s">
        <v>987</v>
      </c>
      <c r="D990" s="1" t="s">
        <v>1321</v>
      </c>
      <c r="E990" s="1" t="s">
        <v>1323</v>
      </c>
      <c r="F9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90" s="1">
        <v>0</v>
      </c>
      <c r="H990" s="1">
        <v>0</v>
      </c>
      <c r="I990" s="1">
        <f>Tabela1[[#This Row],[Siblings and Spouses]]+Tabela1[[#This Row],[Parents and Children]]</f>
        <v>0</v>
      </c>
      <c r="J990" s="3">
        <v>7.75</v>
      </c>
      <c r="K9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0" s="2" t="s">
        <v>1319</v>
      </c>
    </row>
    <row r="991" spans="1:12" x14ac:dyDescent="0.25">
      <c r="A991" s="1" t="s">
        <v>1351</v>
      </c>
      <c r="B991" s="1" t="s">
        <v>1348</v>
      </c>
      <c r="C991" s="1" t="s">
        <v>988</v>
      </c>
      <c r="D991" s="1" t="s">
        <v>1321</v>
      </c>
      <c r="E991" s="1" t="s">
        <v>1323</v>
      </c>
      <c r="F9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91" s="1">
        <v>0</v>
      </c>
      <c r="H991" s="1">
        <v>0</v>
      </c>
      <c r="I991" s="1">
        <f>Tabela1[[#This Row],[Siblings and Spouses]]+Tabela1[[#This Row],[Parents and Children]]</f>
        <v>0</v>
      </c>
      <c r="J991" s="3">
        <v>8.0500000000000007</v>
      </c>
      <c r="K9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1" s="2" t="s">
        <v>396</v>
      </c>
    </row>
    <row r="992" spans="1:12" x14ac:dyDescent="0.25">
      <c r="A992" s="1" t="s">
        <v>1351</v>
      </c>
      <c r="B992" s="1" t="s">
        <v>1348</v>
      </c>
      <c r="C992" s="1" t="s">
        <v>989</v>
      </c>
      <c r="D992" s="1" t="s">
        <v>1321</v>
      </c>
      <c r="E992" s="1">
        <v>29</v>
      </c>
      <c r="F9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92" s="1">
        <v>0</v>
      </c>
      <c r="H992" s="1">
        <v>0</v>
      </c>
      <c r="I992" s="1">
        <f>Tabela1[[#This Row],[Siblings and Spouses]]+Tabela1[[#This Row],[Parents and Children]]</f>
        <v>0</v>
      </c>
      <c r="J992" s="3">
        <v>7.9249999999999998</v>
      </c>
      <c r="K9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2" s="2" t="s">
        <v>396</v>
      </c>
    </row>
    <row r="993" spans="1:12" x14ac:dyDescent="0.25">
      <c r="A993" s="1" t="s">
        <v>1351</v>
      </c>
      <c r="B993" s="1" t="s">
        <v>1337</v>
      </c>
      <c r="C993" s="1" t="s">
        <v>990</v>
      </c>
      <c r="D993" s="1" t="s">
        <v>1321</v>
      </c>
      <c r="E993" s="1" t="s">
        <v>1323</v>
      </c>
      <c r="F9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93" s="1">
        <v>0</v>
      </c>
      <c r="H993" s="1">
        <v>0</v>
      </c>
      <c r="I993" s="1">
        <f>Tabela1[[#This Row],[Siblings and Spouses]]+Tabela1[[#This Row],[Parents and Children]]</f>
        <v>0</v>
      </c>
      <c r="J993" s="3">
        <v>7.2291999999999996</v>
      </c>
      <c r="K9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3" s="2" t="s">
        <v>1318</v>
      </c>
    </row>
    <row r="994" spans="1:12" x14ac:dyDescent="0.25">
      <c r="A994" s="1" t="s">
        <v>1351</v>
      </c>
      <c r="B994" s="1" t="s">
        <v>1348</v>
      </c>
      <c r="C994" s="1" t="s">
        <v>991</v>
      </c>
      <c r="D994" s="1" t="s">
        <v>1320</v>
      </c>
      <c r="E994" s="1">
        <v>30.5</v>
      </c>
      <c r="F9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994" s="1">
        <v>0</v>
      </c>
      <c r="H994" s="1">
        <v>0</v>
      </c>
      <c r="I994" s="1">
        <f>Tabela1[[#This Row],[Siblings and Spouses]]+Tabela1[[#This Row],[Parents and Children]]</f>
        <v>0</v>
      </c>
      <c r="J994" s="3">
        <v>7.75</v>
      </c>
      <c r="K9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4" s="2" t="s">
        <v>1319</v>
      </c>
    </row>
    <row r="995" spans="1:12" x14ac:dyDescent="0.25">
      <c r="A995" s="1" t="s">
        <v>1351</v>
      </c>
      <c r="B995" s="1" t="s">
        <v>1337</v>
      </c>
      <c r="C995" s="1" t="s">
        <v>992</v>
      </c>
      <c r="D995" s="1" t="s">
        <v>1320</v>
      </c>
      <c r="E995" s="1" t="s">
        <v>1323</v>
      </c>
      <c r="F9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95" s="1">
        <v>0</v>
      </c>
      <c r="H995" s="1">
        <v>0</v>
      </c>
      <c r="I995" s="1">
        <f>Tabela1[[#This Row],[Siblings and Spouses]]+Tabela1[[#This Row],[Parents and Children]]</f>
        <v>0</v>
      </c>
      <c r="J995" s="3">
        <v>7.7374999999999998</v>
      </c>
      <c r="K9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5" s="2" t="s">
        <v>1319</v>
      </c>
    </row>
    <row r="996" spans="1:12" x14ac:dyDescent="0.25">
      <c r="A996" s="1" t="s">
        <v>1351</v>
      </c>
      <c r="B996" s="1" t="s">
        <v>1348</v>
      </c>
      <c r="C996" s="1" t="s">
        <v>993</v>
      </c>
      <c r="D996" s="1" t="s">
        <v>1321</v>
      </c>
      <c r="E996" s="1" t="s">
        <v>1323</v>
      </c>
      <c r="F9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96" s="1">
        <v>0</v>
      </c>
      <c r="H996" s="1">
        <v>0</v>
      </c>
      <c r="I996" s="1">
        <f>Tabela1[[#This Row],[Siblings and Spouses]]+Tabela1[[#This Row],[Parents and Children]]</f>
        <v>0</v>
      </c>
      <c r="J996" s="3">
        <v>7.2291999999999996</v>
      </c>
      <c r="K9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6" s="2" t="s">
        <v>1318</v>
      </c>
    </row>
    <row r="997" spans="1:12" x14ac:dyDescent="0.25">
      <c r="A997" s="1" t="s">
        <v>1351</v>
      </c>
      <c r="B997" s="1" t="s">
        <v>1348</v>
      </c>
      <c r="C997" s="1" t="s">
        <v>994</v>
      </c>
      <c r="D997" s="1" t="s">
        <v>1321</v>
      </c>
      <c r="E997" s="1">
        <v>35</v>
      </c>
      <c r="F9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97" s="1">
        <v>0</v>
      </c>
      <c r="H997" s="1">
        <v>0</v>
      </c>
      <c r="I997" s="1">
        <f>Tabela1[[#This Row],[Siblings and Spouses]]+Tabela1[[#This Row],[Parents and Children]]</f>
        <v>0</v>
      </c>
      <c r="J997" s="3">
        <v>7.8958000000000004</v>
      </c>
      <c r="K9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7" s="2" t="s">
        <v>1318</v>
      </c>
    </row>
    <row r="998" spans="1:12" x14ac:dyDescent="0.25">
      <c r="A998" s="1" t="s">
        <v>1351</v>
      </c>
      <c r="B998" s="1" t="s">
        <v>1348</v>
      </c>
      <c r="C998" s="1" t="s">
        <v>995</v>
      </c>
      <c r="D998" s="1" t="s">
        <v>1321</v>
      </c>
      <c r="E998" s="1">
        <v>33</v>
      </c>
      <c r="F9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998" s="1">
        <v>0</v>
      </c>
      <c r="H998" s="1">
        <v>0</v>
      </c>
      <c r="I998" s="1">
        <f>Tabela1[[#This Row],[Siblings and Spouses]]+Tabela1[[#This Row],[Parents and Children]]</f>
        <v>0</v>
      </c>
      <c r="J998" s="3">
        <v>7.8958000000000004</v>
      </c>
      <c r="K9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8" s="2" t="s">
        <v>396</v>
      </c>
    </row>
    <row r="999" spans="1:12" x14ac:dyDescent="0.25">
      <c r="A999" s="1" t="s">
        <v>1351</v>
      </c>
      <c r="B999" s="1" t="s">
        <v>1337</v>
      </c>
      <c r="C999" s="1" t="s">
        <v>996</v>
      </c>
      <c r="D999" s="1" t="s">
        <v>1320</v>
      </c>
      <c r="E999" s="1" t="s">
        <v>1323</v>
      </c>
      <c r="F9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999" s="1">
        <v>0</v>
      </c>
      <c r="H999" s="1">
        <v>0</v>
      </c>
      <c r="I999" s="1">
        <f>Tabela1[[#This Row],[Siblings and Spouses]]+Tabela1[[#This Row],[Parents and Children]]</f>
        <v>0</v>
      </c>
      <c r="J999" s="3">
        <v>7.2249999999999996</v>
      </c>
      <c r="K9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999" s="2" t="s">
        <v>1318</v>
      </c>
    </row>
    <row r="1000" spans="1:12" x14ac:dyDescent="0.25">
      <c r="A1000" s="1" t="s">
        <v>1351</v>
      </c>
      <c r="B1000" s="1" t="s">
        <v>1348</v>
      </c>
      <c r="C1000" s="1" t="s">
        <v>997</v>
      </c>
      <c r="D1000" s="1" t="s">
        <v>1321</v>
      </c>
      <c r="E1000" s="1" t="s">
        <v>1323</v>
      </c>
      <c r="F10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0" s="1">
        <v>0</v>
      </c>
      <c r="H1000" s="1">
        <v>0</v>
      </c>
      <c r="I1000" s="1">
        <f>Tabela1[[#This Row],[Siblings and Spouses]]+Tabela1[[#This Row],[Parents and Children]]</f>
        <v>0</v>
      </c>
      <c r="J1000" s="3">
        <v>7.8958000000000004</v>
      </c>
      <c r="K10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00" s="2" t="s">
        <v>1318</v>
      </c>
    </row>
    <row r="1001" spans="1:12" x14ac:dyDescent="0.25">
      <c r="A1001" s="1" t="s">
        <v>1351</v>
      </c>
      <c r="B1001" s="1" t="s">
        <v>1337</v>
      </c>
      <c r="C1001" s="1" t="s">
        <v>998</v>
      </c>
      <c r="D1001" s="1" t="s">
        <v>1320</v>
      </c>
      <c r="E1001" s="1" t="s">
        <v>1323</v>
      </c>
      <c r="F10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1" s="1">
        <v>0</v>
      </c>
      <c r="H1001" s="1">
        <v>0</v>
      </c>
      <c r="I1001" s="1">
        <f>Tabela1[[#This Row],[Siblings and Spouses]]+Tabela1[[#This Row],[Parents and Children]]</f>
        <v>0</v>
      </c>
      <c r="J1001" s="3">
        <v>7.75</v>
      </c>
      <c r="K10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01" s="2" t="s">
        <v>1319</v>
      </c>
    </row>
    <row r="1002" spans="1:12" x14ac:dyDescent="0.25">
      <c r="A1002" s="1" t="s">
        <v>1351</v>
      </c>
      <c r="B1002" s="1" t="s">
        <v>1337</v>
      </c>
      <c r="C1002" s="1" t="s">
        <v>999</v>
      </c>
      <c r="D1002" s="1" t="s">
        <v>1321</v>
      </c>
      <c r="E1002" s="1" t="s">
        <v>1323</v>
      </c>
      <c r="F10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2" s="1">
        <v>0</v>
      </c>
      <c r="H1002" s="1">
        <v>0</v>
      </c>
      <c r="I1002" s="1">
        <f>Tabela1[[#This Row],[Siblings and Spouses]]+Tabela1[[#This Row],[Parents and Children]]</f>
        <v>0</v>
      </c>
      <c r="J1002" s="3">
        <v>7.75</v>
      </c>
      <c r="K10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02" s="2" t="s">
        <v>1319</v>
      </c>
    </row>
    <row r="1003" spans="1:12" x14ac:dyDescent="0.25">
      <c r="A1003" s="1" t="s">
        <v>1351</v>
      </c>
      <c r="B1003" s="1" t="s">
        <v>1337</v>
      </c>
      <c r="C1003" s="1" t="s">
        <v>1000</v>
      </c>
      <c r="D1003" s="1" t="s">
        <v>1320</v>
      </c>
      <c r="E1003" s="1" t="s">
        <v>1323</v>
      </c>
      <c r="F10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3" s="1">
        <v>2</v>
      </c>
      <c r="H1003" s="1">
        <v>0</v>
      </c>
      <c r="I1003" s="1">
        <f>Tabela1[[#This Row],[Siblings and Spouses]]+Tabela1[[#This Row],[Parents and Children]]</f>
        <v>2</v>
      </c>
      <c r="J1003" s="3">
        <v>23.25</v>
      </c>
      <c r="K10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03" s="2" t="s">
        <v>1319</v>
      </c>
    </row>
    <row r="1004" spans="1:12" x14ac:dyDescent="0.25">
      <c r="A1004" s="1" t="s">
        <v>1351</v>
      </c>
      <c r="B1004" s="1" t="s">
        <v>1337</v>
      </c>
      <c r="C1004" s="1" t="s">
        <v>1001</v>
      </c>
      <c r="D1004" s="1" t="s">
        <v>1320</v>
      </c>
      <c r="E1004" s="1" t="s">
        <v>1323</v>
      </c>
      <c r="F10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4" s="1">
        <v>2</v>
      </c>
      <c r="H1004" s="1">
        <v>0</v>
      </c>
      <c r="I1004" s="1">
        <f>Tabela1[[#This Row],[Siblings and Spouses]]+Tabela1[[#This Row],[Parents and Children]]</f>
        <v>2</v>
      </c>
      <c r="J1004" s="3">
        <v>23.25</v>
      </c>
      <c r="K10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04" s="2" t="s">
        <v>1319</v>
      </c>
    </row>
    <row r="1005" spans="1:12" x14ac:dyDescent="0.25">
      <c r="A1005" s="1" t="s">
        <v>1351</v>
      </c>
      <c r="B1005" s="1" t="s">
        <v>1337</v>
      </c>
      <c r="C1005" s="1" t="s">
        <v>1002</v>
      </c>
      <c r="D1005" s="1" t="s">
        <v>1321</v>
      </c>
      <c r="E1005" s="1" t="s">
        <v>1323</v>
      </c>
      <c r="F10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5" s="1">
        <v>2</v>
      </c>
      <c r="H1005" s="1">
        <v>0</v>
      </c>
      <c r="I1005" s="1">
        <f>Tabela1[[#This Row],[Siblings and Spouses]]+Tabela1[[#This Row],[Parents and Children]]</f>
        <v>2</v>
      </c>
      <c r="J1005" s="3">
        <v>23.25</v>
      </c>
      <c r="K10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05" s="2" t="s">
        <v>1319</v>
      </c>
    </row>
    <row r="1006" spans="1:12" x14ac:dyDescent="0.25">
      <c r="A1006" s="1" t="s">
        <v>1351</v>
      </c>
      <c r="B1006" s="1" t="s">
        <v>1337</v>
      </c>
      <c r="C1006" s="1" t="s">
        <v>1003</v>
      </c>
      <c r="D1006" s="1" t="s">
        <v>1320</v>
      </c>
      <c r="E1006" s="1" t="s">
        <v>1323</v>
      </c>
      <c r="F10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6" s="1">
        <v>0</v>
      </c>
      <c r="H1006" s="1">
        <v>0</v>
      </c>
      <c r="I1006" s="1">
        <f>Tabela1[[#This Row],[Siblings and Spouses]]+Tabela1[[#This Row],[Parents and Children]]</f>
        <v>0</v>
      </c>
      <c r="J1006" s="3">
        <v>7.7874999999999996</v>
      </c>
      <c r="K10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06" s="2" t="s">
        <v>1319</v>
      </c>
    </row>
    <row r="1007" spans="1:12" x14ac:dyDescent="0.25">
      <c r="A1007" s="1" t="s">
        <v>1351</v>
      </c>
      <c r="B1007" s="1" t="s">
        <v>1348</v>
      </c>
      <c r="C1007" s="1" t="s">
        <v>1004</v>
      </c>
      <c r="D1007" s="1" t="s">
        <v>1321</v>
      </c>
      <c r="E1007" s="1" t="s">
        <v>1323</v>
      </c>
      <c r="F10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7" s="1">
        <v>0</v>
      </c>
      <c r="H1007" s="1">
        <v>0</v>
      </c>
      <c r="I1007" s="1">
        <f>Tabela1[[#This Row],[Siblings and Spouses]]+Tabela1[[#This Row],[Parents and Children]]</f>
        <v>0</v>
      </c>
      <c r="J1007" s="3">
        <v>15.5</v>
      </c>
      <c r="K10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07" s="2" t="s">
        <v>1319</v>
      </c>
    </row>
    <row r="1008" spans="1:12" x14ac:dyDescent="0.25">
      <c r="A1008" s="1" t="s">
        <v>1351</v>
      </c>
      <c r="B1008" s="1" t="s">
        <v>1337</v>
      </c>
      <c r="C1008" s="1" t="s">
        <v>1005</v>
      </c>
      <c r="D1008" s="1" t="s">
        <v>1320</v>
      </c>
      <c r="E1008" s="1" t="s">
        <v>1323</v>
      </c>
      <c r="F10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08" s="1">
        <v>0</v>
      </c>
      <c r="H1008" s="1">
        <v>0</v>
      </c>
      <c r="I1008" s="1">
        <f>Tabela1[[#This Row],[Siblings and Spouses]]+Tabela1[[#This Row],[Parents and Children]]</f>
        <v>0</v>
      </c>
      <c r="J1008" s="3">
        <v>7.8792</v>
      </c>
      <c r="K10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08" s="2" t="s">
        <v>1319</v>
      </c>
    </row>
    <row r="1009" spans="1:12" x14ac:dyDescent="0.25">
      <c r="A1009" s="1" t="s">
        <v>1351</v>
      </c>
      <c r="B1009" s="1" t="s">
        <v>1337</v>
      </c>
      <c r="C1009" s="1" t="s">
        <v>1006</v>
      </c>
      <c r="D1009" s="1" t="s">
        <v>1320</v>
      </c>
      <c r="E1009" s="1">
        <v>15</v>
      </c>
      <c r="F10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09" s="1">
        <v>0</v>
      </c>
      <c r="H1009" s="1">
        <v>0</v>
      </c>
      <c r="I1009" s="1">
        <f>Tabela1[[#This Row],[Siblings and Spouses]]+Tabela1[[#This Row],[Parents and Children]]</f>
        <v>0</v>
      </c>
      <c r="J1009" s="3">
        <v>8.0291999999999994</v>
      </c>
      <c r="K10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09" s="2" t="s">
        <v>1319</v>
      </c>
    </row>
    <row r="1010" spans="1:12" x14ac:dyDescent="0.25">
      <c r="A1010" s="1" t="s">
        <v>1351</v>
      </c>
      <c r="B1010" s="1" t="s">
        <v>1348</v>
      </c>
      <c r="C1010" s="1" t="s">
        <v>1007</v>
      </c>
      <c r="D1010" s="1" t="s">
        <v>1320</v>
      </c>
      <c r="E1010" s="1">
        <v>35</v>
      </c>
      <c r="F10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10" s="1">
        <v>0</v>
      </c>
      <c r="H1010" s="1">
        <v>0</v>
      </c>
      <c r="I1010" s="1">
        <f>Tabela1[[#This Row],[Siblings and Spouses]]+Tabela1[[#This Row],[Parents and Children]]</f>
        <v>0</v>
      </c>
      <c r="J1010" s="3">
        <v>7.75</v>
      </c>
      <c r="K10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0" s="2" t="s">
        <v>1319</v>
      </c>
    </row>
    <row r="1011" spans="1:12" x14ac:dyDescent="0.25">
      <c r="A1011" s="1" t="s">
        <v>1351</v>
      </c>
      <c r="B1011" s="1" t="s">
        <v>1348</v>
      </c>
      <c r="C1011" s="1" t="s">
        <v>1008</v>
      </c>
      <c r="D1011" s="1" t="s">
        <v>1321</v>
      </c>
      <c r="E1011" s="1" t="s">
        <v>1323</v>
      </c>
      <c r="F10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11" s="1">
        <v>0</v>
      </c>
      <c r="H1011" s="1">
        <v>0</v>
      </c>
      <c r="I1011" s="1">
        <f>Tabela1[[#This Row],[Siblings and Spouses]]+Tabela1[[#This Row],[Parents and Children]]</f>
        <v>0</v>
      </c>
      <c r="J1011" s="3">
        <v>7.75</v>
      </c>
      <c r="K10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1" s="2" t="s">
        <v>1319</v>
      </c>
    </row>
    <row r="1012" spans="1:12" x14ac:dyDescent="0.25">
      <c r="A1012" s="1" t="s">
        <v>1351</v>
      </c>
      <c r="B1012" s="1" t="s">
        <v>1348</v>
      </c>
      <c r="C1012" s="1" t="s">
        <v>1009</v>
      </c>
      <c r="D1012" s="1" t="s">
        <v>1321</v>
      </c>
      <c r="E1012" s="1">
        <v>24</v>
      </c>
      <c r="F10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12" s="1">
        <v>1</v>
      </c>
      <c r="H1012" s="1">
        <v>0</v>
      </c>
      <c r="I1012" s="1">
        <f>Tabela1[[#This Row],[Siblings and Spouses]]+Tabela1[[#This Row],[Parents and Children]]</f>
        <v>1</v>
      </c>
      <c r="J1012" s="3">
        <v>16.100000000000001</v>
      </c>
      <c r="K10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12" s="2" t="s">
        <v>396</v>
      </c>
    </row>
    <row r="1013" spans="1:12" x14ac:dyDescent="0.25">
      <c r="A1013" s="1" t="s">
        <v>1351</v>
      </c>
      <c r="B1013" s="1" t="s">
        <v>1348</v>
      </c>
      <c r="C1013" s="1" t="s">
        <v>1010</v>
      </c>
      <c r="D1013" s="1" t="s">
        <v>1320</v>
      </c>
      <c r="E1013" s="1">
        <v>19</v>
      </c>
      <c r="F10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13" s="1">
        <v>1</v>
      </c>
      <c r="H1013" s="1">
        <v>0</v>
      </c>
      <c r="I1013" s="1">
        <f>Tabela1[[#This Row],[Siblings and Spouses]]+Tabela1[[#This Row],[Parents and Children]]</f>
        <v>1</v>
      </c>
      <c r="J1013" s="3">
        <v>16.100000000000001</v>
      </c>
      <c r="K10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13" s="2" t="s">
        <v>396</v>
      </c>
    </row>
    <row r="1014" spans="1:12" x14ac:dyDescent="0.25">
      <c r="A1014" s="1" t="s">
        <v>1351</v>
      </c>
      <c r="B1014" s="1" t="s">
        <v>1348</v>
      </c>
      <c r="C1014" s="1" t="s">
        <v>1011</v>
      </c>
      <c r="D1014" s="1" t="s">
        <v>1320</v>
      </c>
      <c r="E1014" s="1" t="s">
        <v>1323</v>
      </c>
      <c r="F10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14" s="1">
        <v>0</v>
      </c>
      <c r="H1014" s="1">
        <v>0</v>
      </c>
      <c r="I1014" s="1">
        <f>Tabela1[[#This Row],[Siblings and Spouses]]+Tabela1[[#This Row],[Parents and Children]]</f>
        <v>0</v>
      </c>
      <c r="J1014" s="3">
        <v>7.75</v>
      </c>
      <c r="K10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4" s="2" t="s">
        <v>1319</v>
      </c>
    </row>
    <row r="1015" spans="1:12" x14ac:dyDescent="0.25">
      <c r="A1015" s="1" t="s">
        <v>1351</v>
      </c>
      <c r="B1015" s="1" t="s">
        <v>1348</v>
      </c>
      <c r="C1015" s="1" t="s">
        <v>1012</v>
      </c>
      <c r="D1015" s="1" t="s">
        <v>1320</v>
      </c>
      <c r="E1015" s="1" t="s">
        <v>1323</v>
      </c>
      <c r="F10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15" s="1">
        <v>0</v>
      </c>
      <c r="H1015" s="1">
        <v>0</v>
      </c>
      <c r="I1015" s="1">
        <f>Tabela1[[#This Row],[Siblings and Spouses]]+Tabela1[[#This Row],[Parents and Children]]</f>
        <v>0</v>
      </c>
      <c r="J1015" s="3">
        <v>8.0500000000000007</v>
      </c>
      <c r="K10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5" s="2" t="s">
        <v>396</v>
      </c>
    </row>
    <row r="1016" spans="1:12" x14ac:dyDescent="0.25">
      <c r="A1016" s="1" t="s">
        <v>1351</v>
      </c>
      <c r="B1016" s="1" t="s">
        <v>1348</v>
      </c>
      <c r="C1016" s="1" t="s">
        <v>1013</v>
      </c>
      <c r="D1016" s="1" t="s">
        <v>1320</v>
      </c>
      <c r="E1016" s="1" t="s">
        <v>1323</v>
      </c>
      <c r="F10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16" s="1">
        <v>0</v>
      </c>
      <c r="H1016" s="1">
        <v>0</v>
      </c>
      <c r="I1016" s="1">
        <f>Tabela1[[#This Row],[Siblings and Spouses]]+Tabela1[[#This Row],[Parents and Children]]</f>
        <v>0</v>
      </c>
      <c r="J1016" s="3">
        <v>8.0500000000000007</v>
      </c>
      <c r="K10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6" s="2" t="s">
        <v>396</v>
      </c>
    </row>
    <row r="1017" spans="1:12" x14ac:dyDescent="0.25">
      <c r="A1017" s="1" t="s">
        <v>1351</v>
      </c>
      <c r="B1017" s="1" t="s">
        <v>1348</v>
      </c>
      <c r="C1017" s="1" t="s">
        <v>1014</v>
      </c>
      <c r="D1017" s="1" t="s">
        <v>1321</v>
      </c>
      <c r="E1017" s="1">
        <v>55.5</v>
      </c>
      <c r="F10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017" s="1">
        <v>0</v>
      </c>
      <c r="H1017" s="1">
        <v>0</v>
      </c>
      <c r="I1017" s="1">
        <f>Tabela1[[#This Row],[Siblings and Spouses]]+Tabela1[[#This Row],[Parents and Children]]</f>
        <v>0</v>
      </c>
      <c r="J1017" s="3">
        <v>8.0500000000000007</v>
      </c>
      <c r="K10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7" s="2" t="s">
        <v>396</v>
      </c>
    </row>
    <row r="1018" spans="1:12" x14ac:dyDescent="0.25">
      <c r="A1018" s="1" t="s">
        <v>1351</v>
      </c>
      <c r="B1018" s="1" t="s">
        <v>1348</v>
      </c>
      <c r="C1018" s="1" t="s">
        <v>1015</v>
      </c>
      <c r="D1018" s="1" t="s">
        <v>1321</v>
      </c>
      <c r="E1018" s="1" t="s">
        <v>1323</v>
      </c>
      <c r="F10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18" s="1">
        <v>0</v>
      </c>
      <c r="H1018" s="1">
        <v>0</v>
      </c>
      <c r="I1018" s="1">
        <f>Tabela1[[#This Row],[Siblings and Spouses]]+Tabela1[[#This Row],[Parents and Children]]</f>
        <v>0</v>
      </c>
      <c r="J1018" s="3">
        <v>7.75</v>
      </c>
      <c r="K10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8" s="2" t="s">
        <v>1319</v>
      </c>
    </row>
    <row r="1019" spans="1:12" x14ac:dyDescent="0.25">
      <c r="A1019" s="1" t="s">
        <v>1351</v>
      </c>
      <c r="B1019" s="1" t="s">
        <v>1337</v>
      </c>
      <c r="C1019" s="1" t="s">
        <v>1016</v>
      </c>
      <c r="D1019" s="1" t="s">
        <v>1321</v>
      </c>
      <c r="E1019" s="1">
        <v>21</v>
      </c>
      <c r="F10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19" s="1">
        <v>0</v>
      </c>
      <c r="H1019" s="1">
        <v>0</v>
      </c>
      <c r="I1019" s="1">
        <f>Tabela1[[#This Row],[Siblings and Spouses]]+Tabela1[[#This Row],[Parents and Children]]</f>
        <v>0</v>
      </c>
      <c r="J1019" s="3">
        <v>7.7750000000000004</v>
      </c>
      <c r="K10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19" s="2" t="s">
        <v>396</v>
      </c>
    </row>
    <row r="1020" spans="1:12" x14ac:dyDescent="0.25">
      <c r="A1020" s="1" t="s">
        <v>1351</v>
      </c>
      <c r="B1020" s="1" t="s">
        <v>1348</v>
      </c>
      <c r="C1020" s="1" t="s">
        <v>1017</v>
      </c>
      <c r="D1020" s="1" t="s">
        <v>1321</v>
      </c>
      <c r="E1020" s="1" t="s">
        <v>1323</v>
      </c>
      <c r="F10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20" s="1">
        <v>0</v>
      </c>
      <c r="H1020" s="1">
        <v>0</v>
      </c>
      <c r="I1020" s="1">
        <f>Tabela1[[#This Row],[Siblings and Spouses]]+Tabela1[[#This Row],[Parents and Children]]</f>
        <v>0</v>
      </c>
      <c r="J1020" s="3">
        <v>8.0500000000000007</v>
      </c>
      <c r="K10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0" s="2" t="s">
        <v>396</v>
      </c>
    </row>
    <row r="1021" spans="1:12" x14ac:dyDescent="0.25">
      <c r="A1021" s="1" t="s">
        <v>1351</v>
      </c>
      <c r="B1021" s="1" t="s">
        <v>1348</v>
      </c>
      <c r="C1021" s="1" t="s">
        <v>1018</v>
      </c>
      <c r="D1021" s="1" t="s">
        <v>1321</v>
      </c>
      <c r="E1021" s="1">
        <v>24</v>
      </c>
      <c r="F10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21" s="1">
        <v>0</v>
      </c>
      <c r="H1021" s="1">
        <v>0</v>
      </c>
      <c r="I1021" s="1">
        <f>Tabela1[[#This Row],[Siblings and Spouses]]+Tabela1[[#This Row],[Parents and Children]]</f>
        <v>0</v>
      </c>
      <c r="J1021" s="3">
        <v>7.8958000000000004</v>
      </c>
      <c r="K10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1" s="2" t="s">
        <v>396</v>
      </c>
    </row>
    <row r="1022" spans="1:12" x14ac:dyDescent="0.25">
      <c r="A1022" s="1" t="s">
        <v>1351</v>
      </c>
      <c r="B1022" s="1" t="s">
        <v>1348</v>
      </c>
      <c r="C1022" s="1" t="s">
        <v>1019</v>
      </c>
      <c r="D1022" s="1" t="s">
        <v>1321</v>
      </c>
      <c r="E1022" s="1">
        <v>21</v>
      </c>
      <c r="F10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22" s="1">
        <v>0</v>
      </c>
      <c r="H1022" s="1">
        <v>0</v>
      </c>
      <c r="I1022" s="1">
        <f>Tabela1[[#This Row],[Siblings and Spouses]]+Tabela1[[#This Row],[Parents and Children]]</f>
        <v>0</v>
      </c>
      <c r="J1022" s="3">
        <v>7.8958000000000004</v>
      </c>
      <c r="K10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2" s="2" t="s">
        <v>396</v>
      </c>
    </row>
    <row r="1023" spans="1:12" x14ac:dyDescent="0.25">
      <c r="A1023" s="1" t="s">
        <v>1351</v>
      </c>
      <c r="B1023" s="1" t="s">
        <v>1348</v>
      </c>
      <c r="C1023" s="1" t="s">
        <v>1020</v>
      </c>
      <c r="D1023" s="1" t="s">
        <v>1321</v>
      </c>
      <c r="E1023" s="1">
        <v>28</v>
      </c>
      <c r="F10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23" s="1">
        <v>0</v>
      </c>
      <c r="H1023" s="1">
        <v>0</v>
      </c>
      <c r="I1023" s="1">
        <f>Tabela1[[#This Row],[Siblings and Spouses]]+Tabela1[[#This Row],[Parents and Children]]</f>
        <v>0</v>
      </c>
      <c r="J1023" s="3">
        <v>7.8958000000000004</v>
      </c>
      <c r="K10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3" s="2" t="s">
        <v>396</v>
      </c>
    </row>
    <row r="1024" spans="1:12" x14ac:dyDescent="0.25">
      <c r="A1024" s="1" t="s">
        <v>1351</v>
      </c>
      <c r="B1024" s="1" t="s">
        <v>1348</v>
      </c>
      <c r="C1024" s="1" t="s">
        <v>1021</v>
      </c>
      <c r="D1024" s="1" t="s">
        <v>1321</v>
      </c>
      <c r="E1024" s="1" t="s">
        <v>1323</v>
      </c>
      <c r="F10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24" s="1">
        <v>0</v>
      </c>
      <c r="H1024" s="1">
        <v>0</v>
      </c>
      <c r="I1024" s="1">
        <f>Tabela1[[#This Row],[Siblings and Spouses]]+Tabela1[[#This Row],[Parents and Children]]</f>
        <v>0</v>
      </c>
      <c r="J1024" s="3">
        <v>7.8958000000000004</v>
      </c>
      <c r="K10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4" s="2" t="s">
        <v>396</v>
      </c>
    </row>
    <row r="1025" spans="1:12" x14ac:dyDescent="0.25">
      <c r="A1025" s="1" t="s">
        <v>1351</v>
      </c>
      <c r="B1025" s="1" t="s">
        <v>1337</v>
      </c>
      <c r="C1025" s="1" t="s">
        <v>1022</v>
      </c>
      <c r="D1025" s="1" t="s">
        <v>1320</v>
      </c>
      <c r="E1025" s="1" t="s">
        <v>1323</v>
      </c>
      <c r="F10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25" s="1">
        <v>0</v>
      </c>
      <c r="H1025" s="1">
        <v>0</v>
      </c>
      <c r="I1025" s="1">
        <f>Tabela1[[#This Row],[Siblings and Spouses]]+Tabela1[[#This Row],[Parents and Children]]</f>
        <v>0</v>
      </c>
      <c r="J1025" s="3">
        <v>7.8792</v>
      </c>
      <c r="K10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5" s="2" t="s">
        <v>1319</v>
      </c>
    </row>
    <row r="1026" spans="1:12" x14ac:dyDescent="0.25">
      <c r="A1026" s="1" t="s">
        <v>1351</v>
      </c>
      <c r="B1026" s="1" t="s">
        <v>1348</v>
      </c>
      <c r="C1026" s="1" t="s">
        <v>1023</v>
      </c>
      <c r="D1026" s="1" t="s">
        <v>1321</v>
      </c>
      <c r="E1026" s="1">
        <v>25</v>
      </c>
      <c r="F10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26" s="1">
        <v>0</v>
      </c>
      <c r="H1026" s="1">
        <v>0</v>
      </c>
      <c r="I1026" s="1">
        <f>Tabela1[[#This Row],[Siblings and Spouses]]+Tabela1[[#This Row],[Parents and Children]]</f>
        <v>0</v>
      </c>
      <c r="J1026" s="3">
        <v>7.65</v>
      </c>
      <c r="K10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6" s="2" t="s">
        <v>396</v>
      </c>
    </row>
    <row r="1027" spans="1:12" x14ac:dyDescent="0.25">
      <c r="A1027" s="1" t="s">
        <v>1351</v>
      </c>
      <c r="B1027" s="1" t="s">
        <v>1337</v>
      </c>
      <c r="C1027" s="1" t="s">
        <v>1024</v>
      </c>
      <c r="D1027" s="1" t="s">
        <v>1321</v>
      </c>
      <c r="E1027" s="1">
        <v>6</v>
      </c>
      <c r="F10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27" s="1">
        <v>0</v>
      </c>
      <c r="H1027" s="1">
        <v>1</v>
      </c>
      <c r="I1027" s="1">
        <f>Tabela1[[#This Row],[Siblings and Spouses]]+Tabela1[[#This Row],[Parents and Children]]</f>
        <v>1</v>
      </c>
      <c r="J1027" s="3">
        <v>12.475</v>
      </c>
      <c r="K10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27" s="2" t="s">
        <v>396</v>
      </c>
    </row>
    <row r="1028" spans="1:12" x14ac:dyDescent="0.25">
      <c r="A1028" s="1" t="s">
        <v>1351</v>
      </c>
      <c r="B1028" s="1" t="s">
        <v>1337</v>
      </c>
      <c r="C1028" s="1" t="s">
        <v>1025</v>
      </c>
      <c r="D1028" s="1" t="s">
        <v>1320</v>
      </c>
      <c r="E1028" s="1">
        <v>27</v>
      </c>
      <c r="F10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28" s="1">
        <v>0</v>
      </c>
      <c r="H1028" s="1">
        <v>1</v>
      </c>
      <c r="I1028" s="1">
        <f>Tabela1[[#This Row],[Siblings and Spouses]]+Tabela1[[#This Row],[Parents and Children]]</f>
        <v>1</v>
      </c>
      <c r="J1028" s="3">
        <v>12.475</v>
      </c>
      <c r="K10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28" s="2" t="s">
        <v>396</v>
      </c>
    </row>
    <row r="1029" spans="1:12" x14ac:dyDescent="0.25">
      <c r="A1029" s="1" t="s">
        <v>1351</v>
      </c>
      <c r="B1029" s="1" t="s">
        <v>1348</v>
      </c>
      <c r="C1029" s="1" t="s">
        <v>1026</v>
      </c>
      <c r="D1029" s="1" t="s">
        <v>1321</v>
      </c>
      <c r="E1029" s="1" t="s">
        <v>1323</v>
      </c>
      <c r="F10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29" s="1">
        <v>0</v>
      </c>
      <c r="H1029" s="1">
        <v>0</v>
      </c>
      <c r="I1029" s="1">
        <f>Tabela1[[#This Row],[Siblings and Spouses]]+Tabela1[[#This Row],[Parents and Children]]</f>
        <v>0</v>
      </c>
      <c r="J1029" s="3">
        <v>8.0500000000000007</v>
      </c>
      <c r="K10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29" s="2" t="s">
        <v>396</v>
      </c>
    </row>
    <row r="1030" spans="1:12" x14ac:dyDescent="0.25">
      <c r="A1030" s="1" t="s">
        <v>1351</v>
      </c>
      <c r="B1030" s="1" t="s">
        <v>1337</v>
      </c>
      <c r="C1030" s="1" t="s">
        <v>1027</v>
      </c>
      <c r="D1030" s="1" t="s">
        <v>1320</v>
      </c>
      <c r="E1030" s="1" t="s">
        <v>1323</v>
      </c>
      <c r="F10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0" s="1">
        <v>1</v>
      </c>
      <c r="H1030" s="1">
        <v>0</v>
      </c>
      <c r="I1030" s="1">
        <f>Tabela1[[#This Row],[Siblings and Spouses]]+Tabela1[[#This Row],[Parents and Children]]</f>
        <v>1</v>
      </c>
      <c r="J1030" s="3">
        <v>24.15</v>
      </c>
      <c r="K10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30" s="2" t="s">
        <v>1319</v>
      </c>
    </row>
    <row r="1031" spans="1:12" x14ac:dyDescent="0.25">
      <c r="A1031" s="1" t="s">
        <v>1351</v>
      </c>
      <c r="B1031" s="1" t="s">
        <v>1348</v>
      </c>
      <c r="C1031" s="1" t="s">
        <v>1028</v>
      </c>
      <c r="D1031" s="1" t="s">
        <v>1321</v>
      </c>
      <c r="E1031" s="1" t="s">
        <v>1323</v>
      </c>
      <c r="F10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1" s="1">
        <v>1</v>
      </c>
      <c r="H1031" s="1">
        <v>0</v>
      </c>
      <c r="I1031" s="1">
        <f>Tabela1[[#This Row],[Siblings and Spouses]]+Tabela1[[#This Row],[Parents and Children]]</f>
        <v>1</v>
      </c>
      <c r="J1031" s="3">
        <v>24.15</v>
      </c>
      <c r="K10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31" s="2" t="s">
        <v>1319</v>
      </c>
    </row>
    <row r="1032" spans="1:12" x14ac:dyDescent="0.25">
      <c r="A1032" s="1" t="s">
        <v>1351</v>
      </c>
      <c r="B1032" s="1" t="s">
        <v>1348</v>
      </c>
      <c r="C1032" s="1" t="s">
        <v>1029</v>
      </c>
      <c r="D1032" s="1" t="s">
        <v>1321</v>
      </c>
      <c r="E1032" s="1" t="s">
        <v>1323</v>
      </c>
      <c r="F10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2" s="1">
        <v>0</v>
      </c>
      <c r="H1032" s="1">
        <v>0</v>
      </c>
      <c r="I1032" s="1">
        <f>Tabela1[[#This Row],[Siblings and Spouses]]+Tabela1[[#This Row],[Parents and Children]]</f>
        <v>0</v>
      </c>
      <c r="J1032" s="3">
        <v>8.4582999999999995</v>
      </c>
      <c r="K10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32" s="2" t="s">
        <v>1319</v>
      </c>
    </row>
    <row r="1033" spans="1:12" x14ac:dyDescent="0.25">
      <c r="A1033" s="1" t="s">
        <v>1351</v>
      </c>
      <c r="B1033" s="1" t="s">
        <v>1348</v>
      </c>
      <c r="C1033" s="1" t="s">
        <v>1030</v>
      </c>
      <c r="D1033" s="1" t="s">
        <v>1321</v>
      </c>
      <c r="E1033" s="1">
        <v>34</v>
      </c>
      <c r="F10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33" s="1">
        <v>0</v>
      </c>
      <c r="H1033" s="1">
        <v>0</v>
      </c>
      <c r="I1033" s="1">
        <f>Tabela1[[#This Row],[Siblings and Spouses]]+Tabela1[[#This Row],[Parents and Children]]</f>
        <v>0</v>
      </c>
      <c r="J1033" s="3">
        <v>8.0500000000000007</v>
      </c>
      <c r="K10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33" s="2" t="s">
        <v>396</v>
      </c>
    </row>
    <row r="1034" spans="1:12" x14ac:dyDescent="0.25">
      <c r="A1034" s="1" t="s">
        <v>1351</v>
      </c>
      <c r="B1034" s="1" t="s">
        <v>1348</v>
      </c>
      <c r="C1034" s="1" t="s">
        <v>1031</v>
      </c>
      <c r="D1034" s="1" t="s">
        <v>1321</v>
      </c>
      <c r="E1034" s="1" t="s">
        <v>1323</v>
      </c>
      <c r="F10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4" s="1">
        <v>0</v>
      </c>
      <c r="H1034" s="1">
        <v>0</v>
      </c>
      <c r="I1034" s="1">
        <f>Tabela1[[#This Row],[Siblings and Spouses]]+Tabela1[[#This Row],[Parents and Children]]</f>
        <v>0</v>
      </c>
      <c r="J1034" s="3">
        <v>7.75</v>
      </c>
      <c r="K10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34" s="2" t="s">
        <v>1319</v>
      </c>
    </row>
    <row r="1035" spans="1:12" x14ac:dyDescent="0.25">
      <c r="A1035" s="1" t="s">
        <v>1351</v>
      </c>
      <c r="B1035" s="1" t="s">
        <v>1337</v>
      </c>
      <c r="C1035" s="1" t="s">
        <v>1032</v>
      </c>
      <c r="D1035" s="1" t="s">
        <v>1321</v>
      </c>
      <c r="E1035" s="1" t="s">
        <v>1323</v>
      </c>
      <c r="F10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5" s="1">
        <v>0</v>
      </c>
      <c r="H1035" s="1">
        <v>0</v>
      </c>
      <c r="I1035" s="1">
        <f>Tabela1[[#This Row],[Siblings and Spouses]]+Tabela1[[#This Row],[Parents and Children]]</f>
        <v>0</v>
      </c>
      <c r="J1035" s="3">
        <v>7.7750000000000004</v>
      </c>
      <c r="K10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35" s="2" t="s">
        <v>396</v>
      </c>
    </row>
    <row r="1036" spans="1:12" x14ac:dyDescent="0.25">
      <c r="A1036" s="1" t="s">
        <v>1351</v>
      </c>
      <c r="B1036" s="1" t="s">
        <v>1337</v>
      </c>
      <c r="C1036" s="1" t="s">
        <v>1033</v>
      </c>
      <c r="D1036" s="1" t="s">
        <v>1321</v>
      </c>
      <c r="E1036" s="1" t="s">
        <v>1323</v>
      </c>
      <c r="F10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6" s="1">
        <v>1</v>
      </c>
      <c r="H1036" s="1">
        <v>1</v>
      </c>
      <c r="I1036" s="1">
        <f>Tabela1[[#This Row],[Siblings and Spouses]]+Tabela1[[#This Row],[Parents and Children]]</f>
        <v>2</v>
      </c>
      <c r="J1036" s="3">
        <v>15.245799999999999</v>
      </c>
      <c r="K10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36" s="2" t="s">
        <v>1318</v>
      </c>
    </row>
    <row r="1037" spans="1:12" x14ac:dyDescent="0.25">
      <c r="A1037" s="1" t="s">
        <v>1351</v>
      </c>
      <c r="B1037" s="1" t="s">
        <v>1337</v>
      </c>
      <c r="C1037" s="1" t="s">
        <v>1034</v>
      </c>
      <c r="D1037" s="1" t="s">
        <v>1321</v>
      </c>
      <c r="E1037" s="1" t="s">
        <v>1323</v>
      </c>
      <c r="F10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7" s="1">
        <v>1</v>
      </c>
      <c r="H1037" s="1">
        <v>1</v>
      </c>
      <c r="I1037" s="1">
        <f>Tabela1[[#This Row],[Siblings and Spouses]]+Tabela1[[#This Row],[Parents and Children]]</f>
        <v>2</v>
      </c>
      <c r="J1037" s="3">
        <v>15.245799999999999</v>
      </c>
      <c r="K10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37" s="2" t="s">
        <v>1318</v>
      </c>
    </row>
    <row r="1038" spans="1:12" x14ac:dyDescent="0.25">
      <c r="A1038" s="1" t="s">
        <v>1351</v>
      </c>
      <c r="B1038" s="1" t="s">
        <v>1337</v>
      </c>
      <c r="C1038" s="1" t="s">
        <v>1035</v>
      </c>
      <c r="D1038" s="1" t="s">
        <v>1320</v>
      </c>
      <c r="E1038" s="1" t="s">
        <v>1323</v>
      </c>
      <c r="F10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8" s="1">
        <v>0</v>
      </c>
      <c r="H1038" s="1">
        <v>2</v>
      </c>
      <c r="I1038" s="1">
        <f>Tabela1[[#This Row],[Siblings and Spouses]]+Tabela1[[#This Row],[Parents and Children]]</f>
        <v>2</v>
      </c>
      <c r="J1038" s="3">
        <v>15.245799999999999</v>
      </c>
      <c r="K10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38" s="2" t="s">
        <v>1318</v>
      </c>
    </row>
    <row r="1039" spans="1:12" x14ac:dyDescent="0.25">
      <c r="A1039" s="1" t="s">
        <v>1351</v>
      </c>
      <c r="B1039" s="1" t="s">
        <v>1337</v>
      </c>
      <c r="C1039" s="1" t="s">
        <v>1036</v>
      </c>
      <c r="D1039" s="1" t="s">
        <v>1320</v>
      </c>
      <c r="E1039" s="1" t="s">
        <v>1323</v>
      </c>
      <c r="F10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39" s="1">
        <v>0</v>
      </c>
      <c r="H1039" s="1">
        <v>0</v>
      </c>
      <c r="I1039" s="1">
        <f>Tabela1[[#This Row],[Siblings and Spouses]]+Tabela1[[#This Row],[Parents and Children]]</f>
        <v>0</v>
      </c>
      <c r="J1039" s="3">
        <v>7.2291999999999996</v>
      </c>
      <c r="K10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39" s="2" t="s">
        <v>1318</v>
      </c>
    </row>
    <row r="1040" spans="1:12" x14ac:dyDescent="0.25">
      <c r="A1040" s="1" t="s">
        <v>1351</v>
      </c>
      <c r="B1040" s="1" t="s">
        <v>1348</v>
      </c>
      <c r="C1040" s="1" t="s">
        <v>1037</v>
      </c>
      <c r="D1040" s="1" t="s">
        <v>1321</v>
      </c>
      <c r="E1040" s="1" t="s">
        <v>1323</v>
      </c>
      <c r="F10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40" s="1">
        <v>0</v>
      </c>
      <c r="H1040" s="1">
        <v>0</v>
      </c>
      <c r="I1040" s="1">
        <f>Tabela1[[#This Row],[Siblings and Spouses]]+Tabela1[[#This Row],[Parents and Children]]</f>
        <v>0</v>
      </c>
      <c r="J1040" s="3">
        <v>8.0500000000000007</v>
      </c>
      <c r="K10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0" s="2" t="s">
        <v>396</v>
      </c>
    </row>
    <row r="1041" spans="1:12" x14ac:dyDescent="0.25">
      <c r="A1041" s="1" t="s">
        <v>1351</v>
      </c>
      <c r="B1041" s="1" t="s">
        <v>1337</v>
      </c>
      <c r="C1041" s="1" t="s">
        <v>1038</v>
      </c>
      <c r="D1041" s="1" t="s">
        <v>1320</v>
      </c>
      <c r="E1041" s="1" t="s">
        <v>1323</v>
      </c>
      <c r="F10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41" s="1">
        <v>0</v>
      </c>
      <c r="H1041" s="1">
        <v>0</v>
      </c>
      <c r="I1041" s="1">
        <f>Tabela1[[#This Row],[Siblings and Spouses]]+Tabela1[[#This Row],[Parents and Children]]</f>
        <v>0</v>
      </c>
      <c r="J1041" s="3">
        <v>7.7332999999999998</v>
      </c>
      <c r="K10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1" s="2" t="s">
        <v>1319</v>
      </c>
    </row>
    <row r="1042" spans="1:12" x14ac:dyDescent="0.25">
      <c r="A1042" s="1" t="s">
        <v>1351</v>
      </c>
      <c r="B1042" s="1" t="s">
        <v>1337</v>
      </c>
      <c r="C1042" s="1" t="s">
        <v>1039</v>
      </c>
      <c r="D1042" s="1" t="s">
        <v>1320</v>
      </c>
      <c r="E1042" s="1">
        <v>24</v>
      </c>
      <c r="F10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42" s="1">
        <v>0</v>
      </c>
      <c r="H1042" s="1">
        <v>0</v>
      </c>
      <c r="I1042" s="1">
        <f>Tabela1[[#This Row],[Siblings and Spouses]]+Tabela1[[#This Row],[Parents and Children]]</f>
        <v>0</v>
      </c>
      <c r="J1042" s="3">
        <v>7.75</v>
      </c>
      <c r="K10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2" s="2" t="s">
        <v>1319</v>
      </c>
    </row>
    <row r="1043" spans="1:12" x14ac:dyDescent="0.25">
      <c r="A1043" s="1" t="s">
        <v>1351</v>
      </c>
      <c r="B1043" s="1" t="s">
        <v>1348</v>
      </c>
      <c r="C1043" s="1" t="s">
        <v>1040</v>
      </c>
      <c r="D1043" s="1" t="s">
        <v>1321</v>
      </c>
      <c r="E1043" s="1" t="s">
        <v>1323</v>
      </c>
      <c r="F10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43" s="1">
        <v>0</v>
      </c>
      <c r="H1043" s="1">
        <v>0</v>
      </c>
      <c r="I1043" s="1">
        <f>Tabela1[[#This Row],[Siblings and Spouses]]+Tabela1[[#This Row],[Parents and Children]]</f>
        <v>0</v>
      </c>
      <c r="J1043" s="3">
        <v>8.0500000000000007</v>
      </c>
      <c r="K10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3" s="2" t="s">
        <v>396</v>
      </c>
    </row>
    <row r="1044" spans="1:12" x14ac:dyDescent="0.25">
      <c r="A1044" s="1" t="s">
        <v>1351</v>
      </c>
      <c r="B1044" s="1" t="s">
        <v>1337</v>
      </c>
      <c r="C1044" s="1" t="s">
        <v>1041</v>
      </c>
      <c r="D1044" s="1" t="s">
        <v>1320</v>
      </c>
      <c r="E1044" s="1" t="s">
        <v>1323</v>
      </c>
      <c r="F10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44" s="1">
        <v>1</v>
      </c>
      <c r="H1044" s="1">
        <v>0</v>
      </c>
      <c r="I1044" s="1">
        <f>Tabela1[[#This Row],[Siblings and Spouses]]+Tabela1[[#This Row],[Parents and Children]]</f>
        <v>1</v>
      </c>
      <c r="J1044" s="3">
        <v>15.5</v>
      </c>
      <c r="K10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44" s="2" t="s">
        <v>1319</v>
      </c>
    </row>
    <row r="1045" spans="1:12" x14ac:dyDescent="0.25">
      <c r="A1045" s="1" t="s">
        <v>1351</v>
      </c>
      <c r="B1045" s="1" t="s">
        <v>1337</v>
      </c>
      <c r="C1045" s="1" t="s">
        <v>1042</v>
      </c>
      <c r="D1045" s="1" t="s">
        <v>1320</v>
      </c>
      <c r="E1045" s="1" t="s">
        <v>1323</v>
      </c>
      <c r="F10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45" s="1">
        <v>1</v>
      </c>
      <c r="H1045" s="1">
        <v>0</v>
      </c>
      <c r="I1045" s="1">
        <f>Tabela1[[#This Row],[Siblings and Spouses]]+Tabela1[[#This Row],[Parents and Children]]</f>
        <v>1</v>
      </c>
      <c r="J1045" s="3">
        <v>15.5</v>
      </c>
      <c r="K10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45" s="2" t="s">
        <v>1319</v>
      </c>
    </row>
    <row r="1046" spans="1:12" x14ac:dyDescent="0.25">
      <c r="A1046" s="1" t="s">
        <v>1351</v>
      </c>
      <c r="B1046" s="1" t="s">
        <v>1337</v>
      </c>
      <c r="C1046" s="1" t="s">
        <v>1043</v>
      </c>
      <c r="D1046" s="1" t="s">
        <v>1320</v>
      </c>
      <c r="E1046" s="1" t="s">
        <v>1323</v>
      </c>
      <c r="F10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46" s="1">
        <v>0</v>
      </c>
      <c r="H1046" s="1">
        <v>0</v>
      </c>
      <c r="I1046" s="1">
        <f>Tabela1[[#This Row],[Siblings and Spouses]]+Tabela1[[#This Row],[Parents and Children]]</f>
        <v>0</v>
      </c>
      <c r="J1046" s="3">
        <v>15.5</v>
      </c>
      <c r="K10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46" s="2" t="s">
        <v>1319</v>
      </c>
    </row>
    <row r="1047" spans="1:12" x14ac:dyDescent="0.25">
      <c r="A1047" s="1" t="s">
        <v>1351</v>
      </c>
      <c r="B1047" s="1" t="s">
        <v>1348</v>
      </c>
      <c r="C1047" s="1" t="s">
        <v>1044</v>
      </c>
      <c r="D1047" s="1" t="s">
        <v>1321</v>
      </c>
      <c r="E1047" s="1">
        <v>18</v>
      </c>
      <c r="F10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47" s="1">
        <v>0</v>
      </c>
      <c r="H1047" s="1">
        <v>0</v>
      </c>
      <c r="I1047" s="1">
        <f>Tabela1[[#This Row],[Siblings and Spouses]]+Tabela1[[#This Row],[Parents and Children]]</f>
        <v>0</v>
      </c>
      <c r="J1047" s="3">
        <v>7.75</v>
      </c>
      <c r="K10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7" s="2" t="s">
        <v>396</v>
      </c>
    </row>
    <row r="1048" spans="1:12" x14ac:dyDescent="0.25">
      <c r="A1048" s="1" t="s">
        <v>1351</v>
      </c>
      <c r="B1048" s="1" t="s">
        <v>1348</v>
      </c>
      <c r="C1048" s="1" t="s">
        <v>1045</v>
      </c>
      <c r="D1048" s="1" t="s">
        <v>1321</v>
      </c>
      <c r="E1048" s="1">
        <v>22</v>
      </c>
      <c r="F10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48" s="1">
        <v>0</v>
      </c>
      <c r="H1048" s="1">
        <v>0</v>
      </c>
      <c r="I1048" s="1">
        <f>Tabela1[[#This Row],[Siblings and Spouses]]+Tabela1[[#This Row],[Parents and Children]]</f>
        <v>0</v>
      </c>
      <c r="J1048" s="3">
        <v>7.8958000000000004</v>
      </c>
      <c r="K10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8" s="2" t="s">
        <v>396</v>
      </c>
    </row>
    <row r="1049" spans="1:12" x14ac:dyDescent="0.25">
      <c r="A1049" s="1" t="s">
        <v>1351</v>
      </c>
      <c r="B1049" s="1" t="s">
        <v>1337</v>
      </c>
      <c r="C1049" s="1" t="s">
        <v>1046</v>
      </c>
      <c r="D1049" s="1" t="s">
        <v>1320</v>
      </c>
      <c r="E1049" s="1">
        <v>15</v>
      </c>
      <c r="F10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49" s="1">
        <v>0</v>
      </c>
      <c r="H1049" s="1">
        <v>0</v>
      </c>
      <c r="I1049" s="1">
        <f>Tabela1[[#This Row],[Siblings and Spouses]]+Tabela1[[#This Row],[Parents and Children]]</f>
        <v>0</v>
      </c>
      <c r="J1049" s="3">
        <v>7.2249999999999996</v>
      </c>
      <c r="K10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49" s="2" t="s">
        <v>1318</v>
      </c>
    </row>
    <row r="1050" spans="1:12" x14ac:dyDescent="0.25">
      <c r="A1050" s="1" t="s">
        <v>1351</v>
      </c>
      <c r="B1050" s="1" t="s">
        <v>1337</v>
      </c>
      <c r="C1050" s="1" t="s">
        <v>1047</v>
      </c>
      <c r="D1050" s="1" t="s">
        <v>1320</v>
      </c>
      <c r="E1050" s="1">
        <v>1</v>
      </c>
      <c r="F10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50" s="1">
        <v>0</v>
      </c>
      <c r="H1050" s="1">
        <v>2</v>
      </c>
      <c r="I1050" s="1">
        <f>Tabela1[[#This Row],[Siblings and Spouses]]+Tabela1[[#This Row],[Parents and Children]]</f>
        <v>2</v>
      </c>
      <c r="J1050" s="3">
        <v>15.7417</v>
      </c>
      <c r="K10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50" s="2" t="s">
        <v>1318</v>
      </c>
    </row>
    <row r="1051" spans="1:12" x14ac:dyDescent="0.25">
      <c r="A1051" s="1" t="s">
        <v>1351</v>
      </c>
      <c r="B1051" s="1" t="s">
        <v>1337</v>
      </c>
      <c r="C1051" s="1" t="s">
        <v>1048</v>
      </c>
      <c r="D1051" s="1" t="s">
        <v>1321</v>
      </c>
      <c r="E1051" s="1">
        <v>20</v>
      </c>
      <c r="F10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51" s="1">
        <v>1</v>
      </c>
      <c r="H1051" s="1">
        <v>1</v>
      </c>
      <c r="I1051" s="1">
        <f>Tabela1[[#This Row],[Siblings and Spouses]]+Tabela1[[#This Row],[Parents and Children]]</f>
        <v>2</v>
      </c>
      <c r="J1051" s="3">
        <v>15.7417</v>
      </c>
      <c r="K10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51" s="2" t="s">
        <v>1318</v>
      </c>
    </row>
    <row r="1052" spans="1:12" x14ac:dyDescent="0.25">
      <c r="A1052" s="1" t="s">
        <v>1351</v>
      </c>
      <c r="B1052" s="1" t="s">
        <v>1337</v>
      </c>
      <c r="C1052" s="1" t="s">
        <v>1049</v>
      </c>
      <c r="D1052" s="1" t="s">
        <v>1320</v>
      </c>
      <c r="E1052" s="1">
        <v>19</v>
      </c>
      <c r="F10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52" s="1">
        <v>1</v>
      </c>
      <c r="H1052" s="1">
        <v>1</v>
      </c>
      <c r="I1052" s="1">
        <f>Tabela1[[#This Row],[Siblings and Spouses]]+Tabela1[[#This Row],[Parents and Children]]</f>
        <v>2</v>
      </c>
      <c r="J1052" s="3">
        <v>15.7417</v>
      </c>
      <c r="K10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52" s="2" t="s">
        <v>1318</v>
      </c>
    </row>
    <row r="1053" spans="1:12" x14ac:dyDescent="0.25">
      <c r="A1053" s="1" t="s">
        <v>1351</v>
      </c>
      <c r="B1053" s="1" t="s">
        <v>1348</v>
      </c>
      <c r="C1053" s="1" t="s">
        <v>1050</v>
      </c>
      <c r="D1053" s="1" t="s">
        <v>1321</v>
      </c>
      <c r="E1053" s="1">
        <v>33</v>
      </c>
      <c r="F10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53" s="1">
        <v>0</v>
      </c>
      <c r="H1053" s="1">
        <v>0</v>
      </c>
      <c r="I1053" s="1">
        <f>Tabela1[[#This Row],[Siblings and Spouses]]+Tabela1[[#This Row],[Parents and Children]]</f>
        <v>0</v>
      </c>
      <c r="J1053" s="3">
        <v>8.0500000000000007</v>
      </c>
      <c r="K10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53" s="2" t="s">
        <v>396</v>
      </c>
    </row>
    <row r="1054" spans="1:12" x14ac:dyDescent="0.25">
      <c r="A1054" s="1" t="s">
        <v>1351</v>
      </c>
      <c r="B1054" s="1" t="s">
        <v>1348</v>
      </c>
      <c r="C1054" s="1" t="s">
        <v>1051</v>
      </c>
      <c r="D1054" s="1" t="s">
        <v>1321</v>
      </c>
      <c r="E1054" s="1" t="s">
        <v>1323</v>
      </c>
      <c r="F10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54" s="1">
        <v>0</v>
      </c>
      <c r="H1054" s="1">
        <v>0</v>
      </c>
      <c r="I1054" s="1">
        <f>Tabela1[[#This Row],[Siblings and Spouses]]+Tabela1[[#This Row],[Parents and Children]]</f>
        <v>0</v>
      </c>
      <c r="J1054" s="3">
        <v>7.8958000000000004</v>
      </c>
      <c r="K10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54" s="2" t="s">
        <v>396</v>
      </c>
    </row>
    <row r="1055" spans="1:12" x14ac:dyDescent="0.25">
      <c r="A1055" s="1" t="s">
        <v>1351</v>
      </c>
      <c r="B1055" s="1" t="s">
        <v>1348</v>
      </c>
      <c r="C1055" s="1" t="s">
        <v>1052</v>
      </c>
      <c r="D1055" s="1" t="s">
        <v>1321</v>
      </c>
      <c r="E1055" s="1" t="s">
        <v>1323</v>
      </c>
      <c r="F10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55" s="1">
        <v>0</v>
      </c>
      <c r="H1055" s="1">
        <v>0</v>
      </c>
      <c r="I1055" s="1">
        <f>Tabela1[[#This Row],[Siblings and Spouses]]+Tabela1[[#This Row],[Parents and Children]]</f>
        <v>0</v>
      </c>
      <c r="J1055" s="3">
        <v>7.2291999999999996</v>
      </c>
      <c r="K10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55" s="2" t="s">
        <v>1318</v>
      </c>
    </row>
    <row r="1056" spans="1:12" x14ac:dyDescent="0.25">
      <c r="A1056" s="1" t="s">
        <v>1351</v>
      </c>
      <c r="B1056" s="1" t="s">
        <v>1348</v>
      </c>
      <c r="C1056" s="1" t="s">
        <v>1053</v>
      </c>
      <c r="D1056" s="1" t="s">
        <v>1320</v>
      </c>
      <c r="E1056" s="1" t="s">
        <v>1323</v>
      </c>
      <c r="F10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56" s="1">
        <v>0</v>
      </c>
      <c r="H1056" s="1">
        <v>0</v>
      </c>
      <c r="I1056" s="1">
        <f>Tabela1[[#This Row],[Siblings and Spouses]]+Tabela1[[#This Row],[Parents and Children]]</f>
        <v>0</v>
      </c>
      <c r="J1056" s="3">
        <v>7.75</v>
      </c>
      <c r="K10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56" s="2" t="s">
        <v>1319</v>
      </c>
    </row>
    <row r="1057" spans="1:12" x14ac:dyDescent="0.25">
      <c r="A1057" s="1" t="s">
        <v>1351</v>
      </c>
      <c r="B1057" s="1" t="s">
        <v>1348</v>
      </c>
      <c r="C1057" s="1" t="s">
        <v>1054</v>
      </c>
      <c r="D1057" s="1" t="s">
        <v>1321</v>
      </c>
      <c r="E1057" s="1" t="s">
        <v>1323</v>
      </c>
      <c r="F10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57" s="1">
        <v>0</v>
      </c>
      <c r="H1057" s="1">
        <v>0</v>
      </c>
      <c r="I1057" s="1">
        <f>Tabela1[[#This Row],[Siblings and Spouses]]+Tabela1[[#This Row],[Parents and Children]]</f>
        <v>0</v>
      </c>
      <c r="J1057" s="3">
        <v>7.8958000000000004</v>
      </c>
      <c r="K10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57" s="2" t="s">
        <v>396</v>
      </c>
    </row>
    <row r="1058" spans="1:12" x14ac:dyDescent="0.25">
      <c r="A1058" s="1" t="s">
        <v>1351</v>
      </c>
      <c r="B1058" s="1" t="s">
        <v>1337</v>
      </c>
      <c r="C1058" s="1" t="s">
        <v>1055</v>
      </c>
      <c r="D1058" s="1" t="s">
        <v>1321</v>
      </c>
      <c r="E1058" s="1">
        <v>12</v>
      </c>
      <c r="F10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58" s="1">
        <v>1</v>
      </c>
      <c r="H1058" s="1">
        <v>0</v>
      </c>
      <c r="I1058" s="1">
        <f>Tabela1[[#This Row],[Siblings and Spouses]]+Tabela1[[#This Row],[Parents and Children]]</f>
        <v>1</v>
      </c>
      <c r="J1058" s="3">
        <v>11.2417</v>
      </c>
      <c r="K10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58" s="2" t="s">
        <v>1318</v>
      </c>
    </row>
    <row r="1059" spans="1:12" x14ac:dyDescent="0.25">
      <c r="A1059" s="1" t="s">
        <v>1351</v>
      </c>
      <c r="B1059" s="1" t="s">
        <v>1337</v>
      </c>
      <c r="C1059" s="1" t="s">
        <v>1056</v>
      </c>
      <c r="D1059" s="1" t="s">
        <v>1320</v>
      </c>
      <c r="E1059" s="1">
        <v>14</v>
      </c>
      <c r="F10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59" s="1">
        <v>1</v>
      </c>
      <c r="H1059" s="1">
        <v>0</v>
      </c>
      <c r="I1059" s="1">
        <f>Tabela1[[#This Row],[Siblings and Spouses]]+Tabela1[[#This Row],[Parents and Children]]</f>
        <v>1</v>
      </c>
      <c r="J1059" s="3">
        <v>11.2417</v>
      </c>
      <c r="K10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59" s="2" t="s">
        <v>1318</v>
      </c>
    </row>
    <row r="1060" spans="1:12" x14ac:dyDescent="0.25">
      <c r="A1060" s="1" t="s">
        <v>1351</v>
      </c>
      <c r="B1060" s="1" t="s">
        <v>1348</v>
      </c>
      <c r="C1060" s="1" t="s">
        <v>1057</v>
      </c>
      <c r="D1060" s="1" t="s">
        <v>1320</v>
      </c>
      <c r="E1060" s="1">
        <v>29</v>
      </c>
      <c r="F10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0" s="1">
        <v>0</v>
      </c>
      <c r="H1060" s="1">
        <v>0</v>
      </c>
      <c r="I1060" s="1">
        <f>Tabela1[[#This Row],[Siblings and Spouses]]+Tabela1[[#This Row],[Parents and Children]]</f>
        <v>0</v>
      </c>
      <c r="J1060" s="3">
        <v>7.9249999999999998</v>
      </c>
      <c r="K10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0" s="2" t="s">
        <v>396</v>
      </c>
    </row>
    <row r="1061" spans="1:12" x14ac:dyDescent="0.25">
      <c r="A1061" s="1" t="s">
        <v>1351</v>
      </c>
      <c r="B1061" s="1" t="s">
        <v>1348</v>
      </c>
      <c r="C1061" s="1" t="s">
        <v>1058</v>
      </c>
      <c r="D1061" s="1" t="s">
        <v>1321</v>
      </c>
      <c r="E1061" s="1">
        <v>28</v>
      </c>
      <c r="F10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1" s="1">
        <v>0</v>
      </c>
      <c r="H1061" s="1">
        <v>0</v>
      </c>
      <c r="I1061" s="1">
        <f>Tabela1[[#This Row],[Siblings and Spouses]]+Tabela1[[#This Row],[Parents and Children]]</f>
        <v>0</v>
      </c>
      <c r="J1061" s="3">
        <v>8.0500000000000007</v>
      </c>
      <c r="K10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1" s="2" t="s">
        <v>396</v>
      </c>
    </row>
    <row r="1062" spans="1:12" x14ac:dyDescent="0.25">
      <c r="A1062" s="1" t="s">
        <v>1351</v>
      </c>
      <c r="B1062" s="1" t="s">
        <v>1337</v>
      </c>
      <c r="C1062" s="1" t="s">
        <v>1059</v>
      </c>
      <c r="D1062" s="1" t="s">
        <v>1320</v>
      </c>
      <c r="E1062" s="1">
        <v>18</v>
      </c>
      <c r="F10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62" s="1">
        <v>0</v>
      </c>
      <c r="H1062" s="1">
        <v>0</v>
      </c>
      <c r="I1062" s="1">
        <f>Tabela1[[#This Row],[Siblings and Spouses]]+Tabela1[[#This Row],[Parents and Children]]</f>
        <v>0</v>
      </c>
      <c r="J1062" s="3">
        <v>7.7750000000000004</v>
      </c>
      <c r="K10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2" s="2" t="s">
        <v>396</v>
      </c>
    </row>
    <row r="1063" spans="1:12" x14ac:dyDescent="0.25">
      <c r="A1063" s="1" t="s">
        <v>1351</v>
      </c>
      <c r="B1063" s="1" t="s">
        <v>1337</v>
      </c>
      <c r="C1063" s="1" t="s">
        <v>1060</v>
      </c>
      <c r="D1063" s="1" t="s">
        <v>1320</v>
      </c>
      <c r="E1063" s="1">
        <v>26</v>
      </c>
      <c r="F10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3" s="1">
        <v>0</v>
      </c>
      <c r="H1063" s="1">
        <v>0</v>
      </c>
      <c r="I1063" s="1">
        <f>Tabela1[[#This Row],[Siblings and Spouses]]+Tabela1[[#This Row],[Parents and Children]]</f>
        <v>0</v>
      </c>
      <c r="J1063" s="3">
        <v>7.8541999999999996</v>
      </c>
      <c r="K10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3" s="2" t="s">
        <v>396</v>
      </c>
    </row>
    <row r="1064" spans="1:12" x14ac:dyDescent="0.25">
      <c r="A1064" s="1" t="s">
        <v>1351</v>
      </c>
      <c r="B1064" s="1" t="s">
        <v>1348</v>
      </c>
      <c r="C1064" s="1" t="s">
        <v>1061</v>
      </c>
      <c r="D1064" s="1" t="s">
        <v>1321</v>
      </c>
      <c r="E1064" s="1">
        <v>21</v>
      </c>
      <c r="F10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4" s="1">
        <v>0</v>
      </c>
      <c r="H1064" s="1">
        <v>0</v>
      </c>
      <c r="I1064" s="1">
        <f>Tabela1[[#This Row],[Siblings and Spouses]]+Tabela1[[#This Row],[Parents and Children]]</f>
        <v>0</v>
      </c>
      <c r="J1064" s="3">
        <v>7.8541999999999996</v>
      </c>
      <c r="K10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4" s="2" t="s">
        <v>396</v>
      </c>
    </row>
    <row r="1065" spans="1:12" x14ac:dyDescent="0.25">
      <c r="A1065" s="1" t="s">
        <v>1351</v>
      </c>
      <c r="B1065" s="1" t="s">
        <v>1348</v>
      </c>
      <c r="C1065" s="1" t="s">
        <v>1062</v>
      </c>
      <c r="D1065" s="1" t="s">
        <v>1321</v>
      </c>
      <c r="E1065" s="1">
        <v>41</v>
      </c>
      <c r="F10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065" s="1">
        <v>0</v>
      </c>
      <c r="H1065" s="1">
        <v>0</v>
      </c>
      <c r="I1065" s="1">
        <f>Tabela1[[#This Row],[Siblings and Spouses]]+Tabela1[[#This Row],[Parents and Children]]</f>
        <v>0</v>
      </c>
      <c r="J1065" s="3">
        <v>7.125</v>
      </c>
      <c r="K10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5" s="2" t="s">
        <v>396</v>
      </c>
    </row>
    <row r="1066" spans="1:12" x14ac:dyDescent="0.25">
      <c r="A1066" s="1" t="s">
        <v>1351</v>
      </c>
      <c r="B1066" s="1" t="s">
        <v>1337</v>
      </c>
      <c r="C1066" s="1" t="s">
        <v>1063</v>
      </c>
      <c r="D1066" s="1" t="s">
        <v>1321</v>
      </c>
      <c r="E1066" s="1">
        <v>39</v>
      </c>
      <c r="F10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66" s="1">
        <v>0</v>
      </c>
      <c r="H1066" s="1">
        <v>0</v>
      </c>
      <c r="I1066" s="1">
        <f>Tabela1[[#This Row],[Siblings and Spouses]]+Tabela1[[#This Row],[Parents and Children]]</f>
        <v>0</v>
      </c>
      <c r="J1066" s="3">
        <v>7.9249999999999998</v>
      </c>
      <c r="K10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6" s="2" t="s">
        <v>396</v>
      </c>
    </row>
    <row r="1067" spans="1:12" x14ac:dyDescent="0.25">
      <c r="A1067" s="1" t="s">
        <v>1351</v>
      </c>
      <c r="B1067" s="1" t="s">
        <v>1348</v>
      </c>
      <c r="C1067" s="1" t="s">
        <v>1064</v>
      </c>
      <c r="D1067" s="1" t="s">
        <v>1321</v>
      </c>
      <c r="E1067" s="1">
        <v>21</v>
      </c>
      <c r="F10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7" s="1">
        <v>0</v>
      </c>
      <c r="H1067" s="1">
        <v>0</v>
      </c>
      <c r="I1067" s="1">
        <f>Tabela1[[#This Row],[Siblings and Spouses]]+Tabela1[[#This Row],[Parents and Children]]</f>
        <v>0</v>
      </c>
      <c r="J1067" s="3">
        <v>7.8</v>
      </c>
      <c r="K10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7" s="2" t="s">
        <v>396</v>
      </c>
    </row>
    <row r="1068" spans="1:12" x14ac:dyDescent="0.25">
      <c r="A1068" s="1" t="s">
        <v>1351</v>
      </c>
      <c r="B1068" s="1" t="s">
        <v>1348</v>
      </c>
      <c r="C1068" s="1" t="s">
        <v>1065</v>
      </c>
      <c r="D1068" s="1" t="s">
        <v>1321</v>
      </c>
      <c r="E1068" s="1">
        <v>28.5</v>
      </c>
      <c r="F10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8" s="1">
        <v>0</v>
      </c>
      <c r="H1068" s="1">
        <v>0</v>
      </c>
      <c r="I1068" s="1">
        <f>Tabela1[[#This Row],[Siblings and Spouses]]+Tabela1[[#This Row],[Parents and Children]]</f>
        <v>0</v>
      </c>
      <c r="J1068" s="3">
        <v>7.2291999999999996</v>
      </c>
      <c r="K10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8" s="2" t="s">
        <v>1318</v>
      </c>
    </row>
    <row r="1069" spans="1:12" x14ac:dyDescent="0.25">
      <c r="A1069" s="1" t="s">
        <v>1351</v>
      </c>
      <c r="B1069" s="1" t="s">
        <v>1337</v>
      </c>
      <c r="C1069" s="1" t="s">
        <v>1066</v>
      </c>
      <c r="D1069" s="1" t="s">
        <v>1320</v>
      </c>
      <c r="E1069" s="1">
        <v>22</v>
      </c>
      <c r="F10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69" s="1">
        <v>0</v>
      </c>
      <c r="H1069" s="1">
        <v>0</v>
      </c>
      <c r="I1069" s="1">
        <f>Tabela1[[#This Row],[Siblings and Spouses]]+Tabela1[[#This Row],[Parents and Children]]</f>
        <v>0</v>
      </c>
      <c r="J1069" s="3">
        <v>7.75</v>
      </c>
      <c r="K10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69" s="2" t="s">
        <v>396</v>
      </c>
    </row>
    <row r="1070" spans="1:12" x14ac:dyDescent="0.25">
      <c r="A1070" s="1" t="s">
        <v>1351</v>
      </c>
      <c r="B1070" s="1" t="s">
        <v>1348</v>
      </c>
      <c r="C1070" s="1" t="s">
        <v>1067</v>
      </c>
      <c r="D1070" s="1" t="s">
        <v>1321</v>
      </c>
      <c r="E1070" s="1">
        <v>61</v>
      </c>
      <c r="F10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1070" s="1">
        <v>0</v>
      </c>
      <c r="H1070" s="1">
        <v>0</v>
      </c>
      <c r="I1070" s="1">
        <f>Tabela1[[#This Row],[Siblings and Spouses]]+Tabela1[[#This Row],[Parents and Children]]</f>
        <v>0</v>
      </c>
      <c r="J1070" s="3">
        <v>6.2374999999999998</v>
      </c>
      <c r="K10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0" s="2" t="s">
        <v>396</v>
      </c>
    </row>
    <row r="1071" spans="1:12" x14ac:dyDescent="0.25">
      <c r="A1071" s="1" t="s">
        <v>1351</v>
      </c>
      <c r="B1071" s="1" t="s">
        <v>1348</v>
      </c>
      <c r="C1071" s="1" t="s">
        <v>1068</v>
      </c>
      <c r="D1071" s="1" t="s">
        <v>1321</v>
      </c>
      <c r="E1071" s="1" t="s">
        <v>1323</v>
      </c>
      <c r="F10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1" s="1">
        <v>1</v>
      </c>
      <c r="H1071" s="1">
        <v>0</v>
      </c>
      <c r="I1071" s="1">
        <f>Tabela1[[#This Row],[Siblings and Spouses]]+Tabela1[[#This Row],[Parents and Children]]</f>
        <v>1</v>
      </c>
      <c r="J1071" s="3">
        <v>15.5</v>
      </c>
      <c r="K10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71" s="2" t="s">
        <v>1319</v>
      </c>
    </row>
    <row r="1072" spans="1:12" x14ac:dyDescent="0.25">
      <c r="A1072" s="1" t="s">
        <v>1351</v>
      </c>
      <c r="B1072" s="1" t="s">
        <v>1348</v>
      </c>
      <c r="C1072" s="1" t="s">
        <v>1069</v>
      </c>
      <c r="D1072" s="1" t="s">
        <v>1321</v>
      </c>
      <c r="E1072" s="1" t="s">
        <v>1323</v>
      </c>
      <c r="F10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2" s="1">
        <v>0</v>
      </c>
      <c r="H1072" s="1">
        <v>0</v>
      </c>
      <c r="I1072" s="1">
        <f>Tabela1[[#This Row],[Siblings and Spouses]]+Tabela1[[#This Row],[Parents and Children]]</f>
        <v>0</v>
      </c>
      <c r="J1072" s="3">
        <v>7.8292000000000002</v>
      </c>
      <c r="K10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2" s="2" t="s">
        <v>1319</v>
      </c>
    </row>
    <row r="1073" spans="1:12" x14ac:dyDescent="0.25">
      <c r="A1073" s="1" t="s">
        <v>1351</v>
      </c>
      <c r="B1073" s="1" t="s">
        <v>1337</v>
      </c>
      <c r="C1073" s="1" t="s">
        <v>1070</v>
      </c>
      <c r="D1073" s="1" t="s">
        <v>1320</v>
      </c>
      <c r="E1073" s="1" t="s">
        <v>1323</v>
      </c>
      <c r="F10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3" s="1">
        <v>1</v>
      </c>
      <c r="H1073" s="1">
        <v>0</v>
      </c>
      <c r="I1073" s="1">
        <f>Tabela1[[#This Row],[Siblings and Spouses]]+Tabela1[[#This Row],[Parents and Children]]</f>
        <v>1</v>
      </c>
      <c r="J1073" s="3">
        <v>15.5</v>
      </c>
      <c r="K10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73" s="2" t="s">
        <v>1319</v>
      </c>
    </row>
    <row r="1074" spans="1:12" x14ac:dyDescent="0.25">
      <c r="A1074" s="1" t="s">
        <v>1351</v>
      </c>
      <c r="B1074" s="1" t="s">
        <v>1348</v>
      </c>
      <c r="C1074" s="1" t="s">
        <v>1071</v>
      </c>
      <c r="D1074" s="1" t="s">
        <v>1321</v>
      </c>
      <c r="E1074" s="1" t="s">
        <v>1323</v>
      </c>
      <c r="F10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4" s="1">
        <v>0</v>
      </c>
      <c r="H1074" s="1">
        <v>0</v>
      </c>
      <c r="I1074" s="1">
        <f>Tabela1[[#This Row],[Siblings and Spouses]]+Tabela1[[#This Row],[Parents and Children]]</f>
        <v>0</v>
      </c>
      <c r="J1074" s="3">
        <v>7.7332999999999998</v>
      </c>
      <c r="K10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4" s="2" t="s">
        <v>1319</v>
      </c>
    </row>
    <row r="1075" spans="1:12" x14ac:dyDescent="0.25">
      <c r="A1075" s="1" t="s">
        <v>1351</v>
      </c>
      <c r="B1075" s="1" t="s">
        <v>1348</v>
      </c>
      <c r="C1075" s="1" t="s">
        <v>1072</v>
      </c>
      <c r="D1075" s="1" t="s">
        <v>1321</v>
      </c>
      <c r="E1075" s="1" t="s">
        <v>1323</v>
      </c>
      <c r="F10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5" s="1">
        <v>0</v>
      </c>
      <c r="H1075" s="1">
        <v>0</v>
      </c>
      <c r="I1075" s="1">
        <f>Tabela1[[#This Row],[Siblings and Spouses]]+Tabela1[[#This Row],[Parents and Children]]</f>
        <v>0</v>
      </c>
      <c r="J1075" s="3">
        <v>7.75</v>
      </c>
      <c r="K10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5" s="2" t="s">
        <v>1319</v>
      </c>
    </row>
    <row r="1076" spans="1:12" x14ac:dyDescent="0.25">
      <c r="A1076" s="1" t="s">
        <v>1351</v>
      </c>
      <c r="B1076" s="1" t="s">
        <v>1348</v>
      </c>
      <c r="C1076" s="1" t="s">
        <v>1073</v>
      </c>
      <c r="D1076" s="1" t="s">
        <v>1321</v>
      </c>
      <c r="E1076" s="1" t="s">
        <v>1323</v>
      </c>
      <c r="F10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6" s="1">
        <v>0</v>
      </c>
      <c r="H1076" s="1">
        <v>0</v>
      </c>
      <c r="I1076" s="1">
        <f>Tabela1[[#This Row],[Siblings and Spouses]]+Tabela1[[#This Row],[Parents and Children]]</f>
        <v>0</v>
      </c>
      <c r="J1076" s="3">
        <v>7.75</v>
      </c>
      <c r="K10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6" s="2" t="s">
        <v>1319</v>
      </c>
    </row>
    <row r="1077" spans="1:12" x14ac:dyDescent="0.25">
      <c r="A1077" s="1" t="s">
        <v>1351</v>
      </c>
      <c r="B1077" s="1" t="s">
        <v>1348</v>
      </c>
      <c r="C1077" s="1" t="s">
        <v>1074</v>
      </c>
      <c r="D1077" s="1" t="s">
        <v>1321</v>
      </c>
      <c r="E1077" s="1">
        <v>23</v>
      </c>
      <c r="F10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77" s="1">
        <v>0</v>
      </c>
      <c r="H1077" s="1">
        <v>0</v>
      </c>
      <c r="I1077" s="1">
        <f>Tabela1[[#This Row],[Siblings and Spouses]]+Tabela1[[#This Row],[Parents and Children]]</f>
        <v>0</v>
      </c>
      <c r="J1077" s="3">
        <v>9.2249999999999996</v>
      </c>
      <c r="K10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7" s="2" t="s">
        <v>396</v>
      </c>
    </row>
    <row r="1078" spans="1:12" x14ac:dyDescent="0.25">
      <c r="A1078" s="1" t="s">
        <v>1351</v>
      </c>
      <c r="B1078" s="1" t="s">
        <v>1348</v>
      </c>
      <c r="C1078" s="1" t="s">
        <v>1075</v>
      </c>
      <c r="D1078" s="1" t="s">
        <v>1320</v>
      </c>
      <c r="E1078" s="1" t="s">
        <v>1323</v>
      </c>
      <c r="F10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8" s="1">
        <v>0</v>
      </c>
      <c r="H1078" s="1">
        <v>0</v>
      </c>
      <c r="I1078" s="1">
        <f>Tabela1[[#This Row],[Siblings and Spouses]]+Tabela1[[#This Row],[Parents and Children]]</f>
        <v>0</v>
      </c>
      <c r="J1078" s="3">
        <v>7.75</v>
      </c>
      <c r="K10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8" s="2" t="s">
        <v>1319</v>
      </c>
    </row>
    <row r="1079" spans="1:12" x14ac:dyDescent="0.25">
      <c r="A1079" s="1" t="s">
        <v>1351</v>
      </c>
      <c r="B1079" s="1" t="s">
        <v>1337</v>
      </c>
      <c r="C1079" s="1" t="s">
        <v>1076</v>
      </c>
      <c r="D1079" s="1" t="s">
        <v>1320</v>
      </c>
      <c r="E1079" s="1" t="s">
        <v>1323</v>
      </c>
      <c r="F10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79" s="1">
        <v>0</v>
      </c>
      <c r="H1079" s="1">
        <v>0</v>
      </c>
      <c r="I1079" s="1">
        <f>Tabela1[[#This Row],[Siblings and Spouses]]+Tabela1[[#This Row],[Parents and Children]]</f>
        <v>0</v>
      </c>
      <c r="J1079" s="3">
        <v>7.75</v>
      </c>
      <c r="K10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79" s="2" t="s">
        <v>1319</v>
      </c>
    </row>
    <row r="1080" spans="1:12" x14ac:dyDescent="0.25">
      <c r="A1080" s="1" t="s">
        <v>1351</v>
      </c>
      <c r="B1080" s="1" t="s">
        <v>1337</v>
      </c>
      <c r="C1080" s="1" t="s">
        <v>1077</v>
      </c>
      <c r="D1080" s="1" t="s">
        <v>1320</v>
      </c>
      <c r="E1080" s="1" t="s">
        <v>1323</v>
      </c>
      <c r="F10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80" s="1">
        <v>0</v>
      </c>
      <c r="H1080" s="1">
        <v>0</v>
      </c>
      <c r="I1080" s="1">
        <f>Tabela1[[#This Row],[Siblings and Spouses]]+Tabela1[[#This Row],[Parents and Children]]</f>
        <v>0</v>
      </c>
      <c r="J1080" s="3">
        <v>7.8792</v>
      </c>
      <c r="K10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0" s="2" t="s">
        <v>1319</v>
      </c>
    </row>
    <row r="1081" spans="1:12" x14ac:dyDescent="0.25">
      <c r="A1081" s="1" t="s">
        <v>1351</v>
      </c>
      <c r="B1081" s="1" t="s">
        <v>1337</v>
      </c>
      <c r="C1081" s="1" t="s">
        <v>1078</v>
      </c>
      <c r="D1081" s="1" t="s">
        <v>1320</v>
      </c>
      <c r="E1081" s="1">
        <v>22</v>
      </c>
      <c r="F10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81" s="1">
        <v>0</v>
      </c>
      <c r="H1081" s="1">
        <v>0</v>
      </c>
      <c r="I1081" s="1">
        <f>Tabela1[[#This Row],[Siblings and Spouses]]+Tabela1[[#This Row],[Parents and Children]]</f>
        <v>0</v>
      </c>
      <c r="J1081" s="3">
        <v>7.7750000000000004</v>
      </c>
      <c r="K10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1" s="2" t="s">
        <v>396</v>
      </c>
    </row>
    <row r="1082" spans="1:12" x14ac:dyDescent="0.25">
      <c r="A1082" s="1" t="s">
        <v>1351</v>
      </c>
      <c r="B1082" s="1" t="s">
        <v>1337</v>
      </c>
      <c r="C1082" s="1" t="s">
        <v>1079</v>
      </c>
      <c r="D1082" s="1" t="s">
        <v>1321</v>
      </c>
      <c r="E1082" s="1" t="s">
        <v>1323</v>
      </c>
      <c r="F10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82" s="1">
        <v>0</v>
      </c>
      <c r="H1082" s="1">
        <v>0</v>
      </c>
      <c r="I1082" s="1">
        <f>Tabela1[[#This Row],[Siblings and Spouses]]+Tabela1[[#This Row],[Parents and Children]]</f>
        <v>0</v>
      </c>
      <c r="J1082" s="3">
        <v>7.75</v>
      </c>
      <c r="K10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2" s="2" t="s">
        <v>1319</v>
      </c>
    </row>
    <row r="1083" spans="1:12" x14ac:dyDescent="0.25">
      <c r="A1083" s="1" t="s">
        <v>1351</v>
      </c>
      <c r="B1083" s="1" t="s">
        <v>1337</v>
      </c>
      <c r="C1083" s="1" t="s">
        <v>1080</v>
      </c>
      <c r="D1083" s="1" t="s">
        <v>1320</v>
      </c>
      <c r="E1083" s="1" t="s">
        <v>1323</v>
      </c>
      <c r="F10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83" s="1">
        <v>0</v>
      </c>
      <c r="H1083" s="1">
        <v>0</v>
      </c>
      <c r="I1083" s="1">
        <f>Tabela1[[#This Row],[Siblings and Spouses]]+Tabela1[[#This Row],[Parents and Children]]</f>
        <v>0</v>
      </c>
      <c r="J1083" s="3">
        <v>7.8292000000000002</v>
      </c>
      <c r="K10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3" s="2" t="s">
        <v>1319</v>
      </c>
    </row>
    <row r="1084" spans="1:12" x14ac:dyDescent="0.25">
      <c r="A1084" s="1" t="s">
        <v>1351</v>
      </c>
      <c r="B1084" s="1" t="s">
        <v>1337</v>
      </c>
      <c r="C1084" s="1" t="s">
        <v>1081</v>
      </c>
      <c r="D1084" s="1" t="s">
        <v>1321</v>
      </c>
      <c r="E1084" s="1">
        <v>9</v>
      </c>
      <c r="F10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84" s="1">
        <v>0</v>
      </c>
      <c r="H1084" s="1">
        <v>1</v>
      </c>
      <c r="I1084" s="1">
        <f>Tabela1[[#This Row],[Siblings and Spouses]]+Tabela1[[#This Row],[Parents and Children]]</f>
        <v>1</v>
      </c>
      <c r="J1084" s="3">
        <v>3.1707999999999998</v>
      </c>
      <c r="K10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4" s="2" t="s">
        <v>396</v>
      </c>
    </row>
    <row r="1085" spans="1:12" x14ac:dyDescent="0.25">
      <c r="A1085" s="1" t="s">
        <v>1351</v>
      </c>
      <c r="B1085" s="1" t="s">
        <v>1348</v>
      </c>
      <c r="C1085" s="1" t="s">
        <v>1082</v>
      </c>
      <c r="D1085" s="1" t="s">
        <v>1321</v>
      </c>
      <c r="E1085" s="1">
        <v>28</v>
      </c>
      <c r="F10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85" s="1">
        <v>0</v>
      </c>
      <c r="H1085" s="1">
        <v>0</v>
      </c>
      <c r="I1085" s="1">
        <f>Tabela1[[#This Row],[Siblings and Spouses]]+Tabela1[[#This Row],[Parents and Children]]</f>
        <v>0</v>
      </c>
      <c r="J1085" s="3">
        <v>22.524999999999999</v>
      </c>
      <c r="K10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85" s="2" t="s">
        <v>396</v>
      </c>
    </row>
    <row r="1086" spans="1:12" x14ac:dyDescent="0.25">
      <c r="A1086" s="1" t="s">
        <v>1351</v>
      </c>
      <c r="B1086" s="1" t="s">
        <v>1348</v>
      </c>
      <c r="C1086" s="1" t="s">
        <v>1083</v>
      </c>
      <c r="D1086" s="1" t="s">
        <v>1321</v>
      </c>
      <c r="E1086" s="1">
        <v>42</v>
      </c>
      <c r="F10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086" s="1">
        <v>0</v>
      </c>
      <c r="H1086" s="1">
        <v>1</v>
      </c>
      <c r="I1086" s="1">
        <f>Tabela1[[#This Row],[Siblings and Spouses]]+Tabela1[[#This Row],[Parents and Children]]</f>
        <v>1</v>
      </c>
      <c r="J1086" s="3">
        <v>8.4041999999999994</v>
      </c>
      <c r="K10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6" s="2" t="s">
        <v>396</v>
      </c>
    </row>
    <row r="1087" spans="1:12" x14ac:dyDescent="0.25">
      <c r="A1087" s="1" t="s">
        <v>1351</v>
      </c>
      <c r="B1087" s="1" t="s">
        <v>1348</v>
      </c>
      <c r="C1087" s="1" t="s">
        <v>1084</v>
      </c>
      <c r="D1087" s="1" t="s">
        <v>1321</v>
      </c>
      <c r="E1087" s="1" t="s">
        <v>1323</v>
      </c>
      <c r="F10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87" s="1">
        <v>0</v>
      </c>
      <c r="H1087" s="1">
        <v>0</v>
      </c>
      <c r="I1087" s="1">
        <f>Tabela1[[#This Row],[Siblings and Spouses]]+Tabela1[[#This Row],[Parents and Children]]</f>
        <v>0</v>
      </c>
      <c r="J1087" s="3">
        <v>7.3125</v>
      </c>
      <c r="K10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7" s="2" t="s">
        <v>396</v>
      </c>
    </row>
    <row r="1088" spans="1:12" x14ac:dyDescent="0.25">
      <c r="A1088" s="1" t="s">
        <v>1351</v>
      </c>
      <c r="B1088" s="1" t="s">
        <v>1348</v>
      </c>
      <c r="C1088" s="1" t="s">
        <v>1085</v>
      </c>
      <c r="D1088" s="1" t="s">
        <v>1320</v>
      </c>
      <c r="E1088" s="1">
        <v>31</v>
      </c>
      <c r="F10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88" s="1">
        <v>0</v>
      </c>
      <c r="H1088" s="1">
        <v>0</v>
      </c>
      <c r="I1088" s="1">
        <f>Tabela1[[#This Row],[Siblings and Spouses]]+Tabela1[[#This Row],[Parents and Children]]</f>
        <v>0</v>
      </c>
      <c r="J1088" s="3">
        <v>7.8541999999999996</v>
      </c>
      <c r="K10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8" s="2" t="s">
        <v>396</v>
      </c>
    </row>
    <row r="1089" spans="1:12" x14ac:dyDescent="0.25">
      <c r="A1089" s="1" t="s">
        <v>1351</v>
      </c>
      <c r="B1089" s="1" t="s">
        <v>1348</v>
      </c>
      <c r="C1089" s="1" t="s">
        <v>1086</v>
      </c>
      <c r="D1089" s="1" t="s">
        <v>1321</v>
      </c>
      <c r="E1089" s="1">
        <v>28</v>
      </c>
      <c r="F10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89" s="1">
        <v>0</v>
      </c>
      <c r="H1089" s="1">
        <v>0</v>
      </c>
      <c r="I1089" s="1">
        <f>Tabela1[[#This Row],[Siblings and Spouses]]+Tabela1[[#This Row],[Parents and Children]]</f>
        <v>0</v>
      </c>
      <c r="J1089" s="3">
        <v>7.8541999999999996</v>
      </c>
      <c r="K10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89" s="2" t="s">
        <v>396</v>
      </c>
    </row>
    <row r="1090" spans="1:12" x14ac:dyDescent="0.25">
      <c r="A1090" s="1" t="s">
        <v>1351</v>
      </c>
      <c r="B1090" s="1" t="s">
        <v>1337</v>
      </c>
      <c r="C1090" s="1" t="s">
        <v>1087</v>
      </c>
      <c r="D1090" s="1" t="s">
        <v>1321</v>
      </c>
      <c r="E1090" s="1">
        <v>32</v>
      </c>
      <c r="F10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90" s="1">
        <v>0</v>
      </c>
      <c r="H1090" s="1">
        <v>0</v>
      </c>
      <c r="I1090" s="1">
        <f>Tabela1[[#This Row],[Siblings and Spouses]]+Tabela1[[#This Row],[Parents and Children]]</f>
        <v>0</v>
      </c>
      <c r="J1090" s="3">
        <v>7.7750000000000004</v>
      </c>
      <c r="K10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0" s="2" t="s">
        <v>396</v>
      </c>
    </row>
    <row r="1091" spans="1:12" x14ac:dyDescent="0.25">
      <c r="A1091" s="1" t="s">
        <v>1351</v>
      </c>
      <c r="B1091" s="1" t="s">
        <v>1348</v>
      </c>
      <c r="C1091" s="1" t="s">
        <v>1088</v>
      </c>
      <c r="D1091" s="1" t="s">
        <v>1321</v>
      </c>
      <c r="E1091" s="1">
        <v>20</v>
      </c>
      <c r="F10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91" s="1">
        <v>0</v>
      </c>
      <c r="H1091" s="1">
        <v>0</v>
      </c>
      <c r="I1091" s="1">
        <f>Tabela1[[#This Row],[Siblings and Spouses]]+Tabela1[[#This Row],[Parents and Children]]</f>
        <v>0</v>
      </c>
      <c r="J1091" s="3">
        <v>9.2249999999999996</v>
      </c>
      <c r="K10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1" s="2" t="s">
        <v>396</v>
      </c>
    </row>
    <row r="1092" spans="1:12" x14ac:dyDescent="0.25">
      <c r="A1092" s="1" t="s">
        <v>1351</v>
      </c>
      <c r="B1092" s="1" t="s">
        <v>1348</v>
      </c>
      <c r="C1092" s="1" t="s">
        <v>1089</v>
      </c>
      <c r="D1092" s="1" t="s">
        <v>1320</v>
      </c>
      <c r="E1092" s="1">
        <v>23</v>
      </c>
      <c r="F10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92" s="1">
        <v>0</v>
      </c>
      <c r="H1092" s="1">
        <v>0</v>
      </c>
      <c r="I1092" s="1">
        <f>Tabela1[[#This Row],[Siblings and Spouses]]+Tabela1[[#This Row],[Parents and Children]]</f>
        <v>0</v>
      </c>
      <c r="J1092" s="3">
        <v>8.6624999999999996</v>
      </c>
      <c r="K10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2" s="2" t="s">
        <v>396</v>
      </c>
    </row>
    <row r="1093" spans="1:12" x14ac:dyDescent="0.25">
      <c r="A1093" s="1" t="s">
        <v>1351</v>
      </c>
      <c r="B1093" s="1" t="s">
        <v>1348</v>
      </c>
      <c r="C1093" s="1" t="s">
        <v>1090</v>
      </c>
      <c r="D1093" s="1" t="s">
        <v>1320</v>
      </c>
      <c r="E1093" s="1">
        <v>20</v>
      </c>
      <c r="F10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93" s="1">
        <v>0</v>
      </c>
      <c r="H1093" s="1">
        <v>0</v>
      </c>
      <c r="I1093" s="1">
        <f>Tabela1[[#This Row],[Siblings and Spouses]]+Tabela1[[#This Row],[Parents and Children]]</f>
        <v>0</v>
      </c>
      <c r="J1093" s="3">
        <v>8.6624999999999996</v>
      </c>
      <c r="K10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3" s="2" t="s">
        <v>396</v>
      </c>
    </row>
    <row r="1094" spans="1:12" x14ac:dyDescent="0.25">
      <c r="A1094" s="1" t="s">
        <v>1351</v>
      </c>
      <c r="B1094" s="1" t="s">
        <v>1348</v>
      </c>
      <c r="C1094" s="1" t="s">
        <v>1091</v>
      </c>
      <c r="D1094" s="1" t="s">
        <v>1321</v>
      </c>
      <c r="E1094" s="1">
        <v>20</v>
      </c>
      <c r="F10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094" s="1">
        <v>0</v>
      </c>
      <c r="H1094" s="1">
        <v>0</v>
      </c>
      <c r="I1094" s="1">
        <f>Tabela1[[#This Row],[Siblings and Spouses]]+Tabela1[[#This Row],[Parents and Children]]</f>
        <v>0</v>
      </c>
      <c r="J1094" s="3">
        <v>8.6624999999999996</v>
      </c>
      <c r="K10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4" s="2" t="s">
        <v>396</v>
      </c>
    </row>
    <row r="1095" spans="1:12" x14ac:dyDescent="0.25">
      <c r="A1095" s="1" t="s">
        <v>1351</v>
      </c>
      <c r="B1095" s="1" t="s">
        <v>1348</v>
      </c>
      <c r="C1095" s="1" t="s">
        <v>1092</v>
      </c>
      <c r="D1095" s="1" t="s">
        <v>1321</v>
      </c>
      <c r="E1095" s="1">
        <v>16</v>
      </c>
      <c r="F10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95" s="1">
        <v>0</v>
      </c>
      <c r="H1095" s="1">
        <v>0</v>
      </c>
      <c r="I1095" s="1">
        <f>Tabela1[[#This Row],[Siblings and Spouses]]+Tabela1[[#This Row],[Parents and Children]]</f>
        <v>0</v>
      </c>
      <c r="J1095" s="3">
        <v>9.2166999999999994</v>
      </c>
      <c r="K10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5" s="2" t="s">
        <v>396</v>
      </c>
    </row>
    <row r="1096" spans="1:12" x14ac:dyDescent="0.25">
      <c r="A1096" s="1" t="s">
        <v>1351</v>
      </c>
      <c r="B1096" s="1" t="s">
        <v>1337</v>
      </c>
      <c r="C1096" s="1" t="s">
        <v>1093</v>
      </c>
      <c r="D1096" s="1" t="s">
        <v>1320</v>
      </c>
      <c r="E1096" s="1">
        <v>31</v>
      </c>
      <c r="F10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096" s="1">
        <v>0</v>
      </c>
      <c r="H1096" s="1">
        <v>0</v>
      </c>
      <c r="I1096" s="1">
        <f>Tabela1[[#This Row],[Siblings and Spouses]]+Tabela1[[#This Row],[Parents and Children]]</f>
        <v>0</v>
      </c>
      <c r="J1096" s="3">
        <v>8.6832999999999991</v>
      </c>
      <c r="K10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6" s="2" t="s">
        <v>396</v>
      </c>
    </row>
    <row r="1097" spans="1:12" x14ac:dyDescent="0.25">
      <c r="A1097" s="1" t="s">
        <v>1351</v>
      </c>
      <c r="B1097" s="1" t="s">
        <v>1348</v>
      </c>
      <c r="C1097" s="1" t="s">
        <v>1094</v>
      </c>
      <c r="D1097" s="1" t="s">
        <v>1320</v>
      </c>
      <c r="E1097" s="1" t="s">
        <v>1323</v>
      </c>
      <c r="F10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097" s="1">
        <v>0</v>
      </c>
      <c r="H1097" s="1">
        <v>0</v>
      </c>
      <c r="I1097" s="1">
        <f>Tabela1[[#This Row],[Siblings and Spouses]]+Tabela1[[#This Row],[Parents and Children]]</f>
        <v>0</v>
      </c>
      <c r="J1097" s="3">
        <v>7.6292</v>
      </c>
      <c r="K10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097" s="2" t="s">
        <v>1319</v>
      </c>
    </row>
    <row r="1098" spans="1:12" x14ac:dyDescent="0.25">
      <c r="A1098" s="1" t="s">
        <v>1351</v>
      </c>
      <c r="B1098" s="1" t="s">
        <v>1348</v>
      </c>
      <c r="C1098" s="1" t="s">
        <v>1095</v>
      </c>
      <c r="D1098" s="1" t="s">
        <v>1321</v>
      </c>
      <c r="E1098" s="1">
        <v>2</v>
      </c>
      <c r="F10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98" s="1">
        <v>3</v>
      </c>
      <c r="H1098" s="1">
        <v>1</v>
      </c>
      <c r="I1098" s="1">
        <f>Tabela1[[#This Row],[Siblings and Spouses]]+Tabela1[[#This Row],[Parents and Children]]</f>
        <v>4</v>
      </c>
      <c r="J1098" s="3">
        <v>21.074999999999999</v>
      </c>
      <c r="K10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98" s="2" t="s">
        <v>396</v>
      </c>
    </row>
    <row r="1099" spans="1:12" x14ac:dyDescent="0.25">
      <c r="A1099" s="1" t="s">
        <v>1351</v>
      </c>
      <c r="B1099" s="1" t="s">
        <v>1348</v>
      </c>
      <c r="C1099" s="1" t="s">
        <v>1096</v>
      </c>
      <c r="D1099" s="1" t="s">
        <v>1321</v>
      </c>
      <c r="E1099" s="1">
        <v>6</v>
      </c>
      <c r="F10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099" s="1">
        <v>3</v>
      </c>
      <c r="H1099" s="1">
        <v>1</v>
      </c>
      <c r="I1099" s="1">
        <f>Tabela1[[#This Row],[Siblings and Spouses]]+Tabela1[[#This Row],[Parents and Children]]</f>
        <v>4</v>
      </c>
      <c r="J1099" s="3">
        <v>21.074999999999999</v>
      </c>
      <c r="K10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099" s="2" t="s">
        <v>396</v>
      </c>
    </row>
    <row r="1100" spans="1:12" x14ac:dyDescent="0.25">
      <c r="A1100" s="1" t="s">
        <v>1351</v>
      </c>
      <c r="B1100" s="1" t="s">
        <v>1348</v>
      </c>
      <c r="C1100" s="1" t="s">
        <v>1097</v>
      </c>
      <c r="D1100" s="1" t="s">
        <v>1320</v>
      </c>
      <c r="E1100" s="1">
        <v>3</v>
      </c>
      <c r="F11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0" s="1">
        <v>3</v>
      </c>
      <c r="H1100" s="1">
        <v>1</v>
      </c>
      <c r="I1100" s="1">
        <f>Tabela1[[#This Row],[Siblings and Spouses]]+Tabela1[[#This Row],[Parents and Children]]</f>
        <v>4</v>
      </c>
      <c r="J1100" s="3">
        <v>21.074999999999999</v>
      </c>
      <c r="K11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00" s="2" t="s">
        <v>396</v>
      </c>
    </row>
    <row r="1101" spans="1:12" x14ac:dyDescent="0.25">
      <c r="A1101" s="1" t="s">
        <v>1351</v>
      </c>
      <c r="B1101" s="1" t="s">
        <v>1348</v>
      </c>
      <c r="C1101" s="1" t="s">
        <v>1098</v>
      </c>
      <c r="D1101" s="1" t="s">
        <v>1320</v>
      </c>
      <c r="E1101" s="1">
        <v>8</v>
      </c>
      <c r="F11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1" s="1">
        <v>3</v>
      </c>
      <c r="H1101" s="1">
        <v>1</v>
      </c>
      <c r="I1101" s="1">
        <f>Tabela1[[#This Row],[Siblings and Spouses]]+Tabela1[[#This Row],[Parents and Children]]</f>
        <v>4</v>
      </c>
      <c r="J1101" s="3">
        <v>21.074999999999999</v>
      </c>
      <c r="K11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01" s="2" t="s">
        <v>396</v>
      </c>
    </row>
    <row r="1102" spans="1:12" x14ac:dyDescent="0.25">
      <c r="A1102" s="1" t="s">
        <v>1351</v>
      </c>
      <c r="B1102" s="1" t="s">
        <v>1348</v>
      </c>
      <c r="C1102" s="1" t="s">
        <v>1099</v>
      </c>
      <c r="D1102" s="1" t="s">
        <v>1320</v>
      </c>
      <c r="E1102" s="1">
        <v>29</v>
      </c>
      <c r="F11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02" s="1">
        <v>0</v>
      </c>
      <c r="H1102" s="1">
        <v>4</v>
      </c>
      <c r="I1102" s="1">
        <f>Tabela1[[#This Row],[Siblings and Spouses]]+Tabela1[[#This Row],[Parents and Children]]</f>
        <v>4</v>
      </c>
      <c r="J1102" s="3">
        <v>21.074999999999999</v>
      </c>
      <c r="K11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02" s="2" t="s">
        <v>396</v>
      </c>
    </row>
    <row r="1103" spans="1:12" x14ac:dyDescent="0.25">
      <c r="A1103" s="1" t="s">
        <v>1351</v>
      </c>
      <c r="B1103" s="1" t="s">
        <v>1348</v>
      </c>
      <c r="C1103" s="1" t="s">
        <v>1100</v>
      </c>
      <c r="D1103" s="1" t="s">
        <v>1321</v>
      </c>
      <c r="E1103" s="1">
        <v>1</v>
      </c>
      <c r="F11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3" s="1">
        <v>4</v>
      </c>
      <c r="H1103" s="1">
        <v>1</v>
      </c>
      <c r="I1103" s="1">
        <f>Tabela1[[#This Row],[Siblings and Spouses]]+Tabela1[[#This Row],[Parents and Children]]</f>
        <v>5</v>
      </c>
      <c r="J1103" s="3">
        <v>39.6875</v>
      </c>
      <c r="K11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03" s="2" t="s">
        <v>396</v>
      </c>
    </row>
    <row r="1104" spans="1:12" x14ac:dyDescent="0.25">
      <c r="A1104" s="1" t="s">
        <v>1351</v>
      </c>
      <c r="B1104" s="1" t="s">
        <v>1348</v>
      </c>
      <c r="C1104" s="1" t="s">
        <v>1101</v>
      </c>
      <c r="D1104" s="1" t="s">
        <v>1321</v>
      </c>
      <c r="E1104" s="1">
        <v>7</v>
      </c>
      <c r="F11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4" s="1">
        <v>4</v>
      </c>
      <c r="H1104" s="1">
        <v>1</v>
      </c>
      <c r="I1104" s="1">
        <f>Tabela1[[#This Row],[Siblings and Spouses]]+Tabela1[[#This Row],[Parents and Children]]</f>
        <v>5</v>
      </c>
      <c r="J1104" s="3">
        <v>39.6875</v>
      </c>
      <c r="K11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04" s="2" t="s">
        <v>396</v>
      </c>
    </row>
    <row r="1105" spans="1:12" x14ac:dyDescent="0.25">
      <c r="A1105" s="1" t="s">
        <v>1351</v>
      </c>
      <c r="B1105" s="1" t="s">
        <v>1348</v>
      </c>
      <c r="C1105" s="1" t="s">
        <v>1102</v>
      </c>
      <c r="D1105" s="1" t="s">
        <v>1321</v>
      </c>
      <c r="E1105" s="1">
        <v>2</v>
      </c>
      <c r="F11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5" s="1">
        <v>4</v>
      </c>
      <c r="H1105" s="1">
        <v>1</v>
      </c>
      <c r="I1105" s="1">
        <f>Tabela1[[#This Row],[Siblings and Spouses]]+Tabela1[[#This Row],[Parents and Children]]</f>
        <v>5</v>
      </c>
      <c r="J1105" s="3">
        <v>39.6875</v>
      </c>
      <c r="K11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05" s="2" t="s">
        <v>396</v>
      </c>
    </row>
    <row r="1106" spans="1:12" x14ac:dyDescent="0.25">
      <c r="A1106" s="1" t="s">
        <v>1351</v>
      </c>
      <c r="B1106" s="1" t="s">
        <v>1348</v>
      </c>
      <c r="C1106" s="1" t="s">
        <v>1103</v>
      </c>
      <c r="D1106" s="1" t="s">
        <v>1321</v>
      </c>
      <c r="E1106" s="1">
        <v>16</v>
      </c>
      <c r="F11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6" s="1">
        <v>4</v>
      </c>
      <c r="H1106" s="1">
        <v>1</v>
      </c>
      <c r="I1106" s="1">
        <f>Tabela1[[#This Row],[Siblings and Spouses]]+Tabela1[[#This Row],[Parents and Children]]</f>
        <v>5</v>
      </c>
      <c r="J1106" s="3">
        <v>39.6875</v>
      </c>
      <c r="K11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06" s="2" t="s">
        <v>396</v>
      </c>
    </row>
    <row r="1107" spans="1:12" x14ac:dyDescent="0.25">
      <c r="A1107" s="1" t="s">
        <v>1351</v>
      </c>
      <c r="B1107" s="1" t="s">
        <v>1348</v>
      </c>
      <c r="C1107" s="1" t="s">
        <v>1104</v>
      </c>
      <c r="D1107" s="1" t="s">
        <v>1321</v>
      </c>
      <c r="E1107" s="1">
        <v>14</v>
      </c>
      <c r="F11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07" s="1">
        <v>4</v>
      </c>
      <c r="H1107" s="1">
        <v>1</v>
      </c>
      <c r="I1107" s="1">
        <f>Tabela1[[#This Row],[Siblings and Spouses]]+Tabela1[[#This Row],[Parents and Children]]</f>
        <v>5</v>
      </c>
      <c r="J1107" s="3">
        <v>39.6875</v>
      </c>
      <c r="K11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07" s="2" t="s">
        <v>396</v>
      </c>
    </row>
    <row r="1108" spans="1:12" x14ac:dyDescent="0.25">
      <c r="A1108" s="1" t="s">
        <v>1351</v>
      </c>
      <c r="B1108" s="1" t="s">
        <v>1348</v>
      </c>
      <c r="C1108" s="1" t="s">
        <v>1105</v>
      </c>
      <c r="D1108" s="1" t="s">
        <v>1320</v>
      </c>
      <c r="E1108" s="1">
        <v>41</v>
      </c>
      <c r="F11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108" s="1">
        <v>0</v>
      </c>
      <c r="H1108" s="1">
        <v>5</v>
      </c>
      <c r="I1108" s="1">
        <f>Tabela1[[#This Row],[Siblings and Spouses]]+Tabela1[[#This Row],[Parents and Children]]</f>
        <v>5</v>
      </c>
      <c r="J1108" s="3">
        <v>39.6875</v>
      </c>
      <c r="K11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08" s="2" t="s">
        <v>396</v>
      </c>
    </row>
    <row r="1109" spans="1:12" x14ac:dyDescent="0.25">
      <c r="A1109" s="1" t="s">
        <v>1351</v>
      </c>
      <c r="B1109" s="1" t="s">
        <v>1348</v>
      </c>
      <c r="C1109" s="1" t="s">
        <v>1106</v>
      </c>
      <c r="D1109" s="1" t="s">
        <v>1321</v>
      </c>
      <c r="E1109" s="1">
        <v>21</v>
      </c>
      <c r="F11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09" s="1">
        <v>0</v>
      </c>
      <c r="H1109" s="1">
        <v>0</v>
      </c>
      <c r="I1109" s="1">
        <f>Tabela1[[#This Row],[Siblings and Spouses]]+Tabela1[[#This Row],[Parents and Children]]</f>
        <v>0</v>
      </c>
      <c r="J1109" s="3">
        <v>8.6624999999999996</v>
      </c>
      <c r="K11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09" s="2" t="s">
        <v>396</v>
      </c>
    </row>
    <row r="1110" spans="1:12" x14ac:dyDescent="0.25">
      <c r="A1110" s="1" t="s">
        <v>1351</v>
      </c>
      <c r="B1110" s="1" t="s">
        <v>1348</v>
      </c>
      <c r="C1110" s="1" t="s">
        <v>1107</v>
      </c>
      <c r="D1110" s="1" t="s">
        <v>1321</v>
      </c>
      <c r="E1110" s="1">
        <v>19</v>
      </c>
      <c r="F11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10" s="1">
        <v>0</v>
      </c>
      <c r="H1110" s="1">
        <v>0</v>
      </c>
      <c r="I1110" s="1">
        <f>Tabela1[[#This Row],[Siblings and Spouses]]+Tabela1[[#This Row],[Parents and Children]]</f>
        <v>0</v>
      </c>
      <c r="J1110" s="3">
        <v>14.5</v>
      </c>
      <c r="K11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10" s="2" t="s">
        <v>396</v>
      </c>
    </row>
    <row r="1111" spans="1:12" x14ac:dyDescent="0.25">
      <c r="A1111" s="1" t="s">
        <v>1351</v>
      </c>
      <c r="B1111" s="1" t="s">
        <v>1348</v>
      </c>
      <c r="C1111" s="1" t="s">
        <v>1108</v>
      </c>
      <c r="D1111" s="1" t="s">
        <v>1321</v>
      </c>
      <c r="E1111" s="1" t="s">
        <v>1323</v>
      </c>
      <c r="F11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11" s="1">
        <v>0</v>
      </c>
      <c r="H1111" s="1">
        <v>0</v>
      </c>
      <c r="I1111" s="1">
        <f>Tabela1[[#This Row],[Siblings and Spouses]]+Tabela1[[#This Row],[Parents and Children]]</f>
        <v>0</v>
      </c>
      <c r="J1111" s="3">
        <v>8.7125000000000004</v>
      </c>
      <c r="K11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11" s="2" t="s">
        <v>1318</v>
      </c>
    </row>
    <row r="1112" spans="1:12" x14ac:dyDescent="0.25">
      <c r="A1112" s="1" t="s">
        <v>1351</v>
      </c>
      <c r="B1112" s="1" t="s">
        <v>1348</v>
      </c>
      <c r="C1112" s="1" t="s">
        <v>1109</v>
      </c>
      <c r="D1112" s="1" t="s">
        <v>1321</v>
      </c>
      <c r="E1112" s="1">
        <v>32</v>
      </c>
      <c r="F11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12" s="1">
        <v>0</v>
      </c>
      <c r="H1112" s="1">
        <v>0</v>
      </c>
      <c r="I1112" s="1">
        <f>Tabela1[[#This Row],[Siblings and Spouses]]+Tabela1[[#This Row],[Parents and Children]]</f>
        <v>0</v>
      </c>
      <c r="J1112" s="3">
        <v>7.8958000000000004</v>
      </c>
      <c r="K11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12" s="2" t="s">
        <v>396</v>
      </c>
    </row>
    <row r="1113" spans="1:12" x14ac:dyDescent="0.25">
      <c r="A1113" s="1" t="s">
        <v>1351</v>
      </c>
      <c r="B1113" s="1" t="s">
        <v>1348</v>
      </c>
      <c r="C1113" s="1" t="s">
        <v>1110</v>
      </c>
      <c r="D1113" s="1" t="s">
        <v>1321</v>
      </c>
      <c r="E1113" s="1">
        <v>0.75</v>
      </c>
      <c r="F11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13" s="1">
        <v>1</v>
      </c>
      <c r="H1113" s="1">
        <v>1</v>
      </c>
      <c r="I1113" s="1">
        <f>Tabela1[[#This Row],[Siblings and Spouses]]+Tabela1[[#This Row],[Parents and Children]]</f>
        <v>2</v>
      </c>
      <c r="J1113" s="3">
        <v>13.775</v>
      </c>
      <c r="K11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13" s="2" t="s">
        <v>396</v>
      </c>
    </row>
    <row r="1114" spans="1:12" x14ac:dyDescent="0.25">
      <c r="A1114" s="1" t="s">
        <v>1351</v>
      </c>
      <c r="B1114" s="1" t="s">
        <v>1348</v>
      </c>
      <c r="C1114" s="1" t="s">
        <v>1111</v>
      </c>
      <c r="D1114" s="1" t="s">
        <v>1320</v>
      </c>
      <c r="E1114" s="1">
        <v>3</v>
      </c>
      <c r="F11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14" s="1">
        <v>1</v>
      </c>
      <c r="H1114" s="1">
        <v>1</v>
      </c>
      <c r="I1114" s="1">
        <f>Tabela1[[#This Row],[Siblings and Spouses]]+Tabela1[[#This Row],[Parents and Children]]</f>
        <v>2</v>
      </c>
      <c r="J1114" s="3">
        <v>13.775</v>
      </c>
      <c r="K11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14" s="2" t="s">
        <v>396</v>
      </c>
    </row>
    <row r="1115" spans="1:12" x14ac:dyDescent="0.25">
      <c r="A1115" s="1" t="s">
        <v>1351</v>
      </c>
      <c r="B1115" s="1" t="s">
        <v>1348</v>
      </c>
      <c r="C1115" s="1" t="s">
        <v>1112</v>
      </c>
      <c r="D1115" s="1" t="s">
        <v>1320</v>
      </c>
      <c r="E1115" s="1">
        <v>26</v>
      </c>
      <c r="F11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15" s="1">
        <v>0</v>
      </c>
      <c r="H1115" s="1">
        <v>2</v>
      </c>
      <c r="I1115" s="1">
        <f>Tabela1[[#This Row],[Siblings and Spouses]]+Tabela1[[#This Row],[Parents and Children]]</f>
        <v>2</v>
      </c>
      <c r="J1115" s="3">
        <v>13.775</v>
      </c>
      <c r="K11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15" s="2" t="s">
        <v>396</v>
      </c>
    </row>
    <row r="1116" spans="1:12" x14ac:dyDescent="0.25">
      <c r="A1116" s="1" t="s">
        <v>1351</v>
      </c>
      <c r="B1116" s="1" t="s">
        <v>1348</v>
      </c>
      <c r="C1116" s="1" t="s">
        <v>1113</v>
      </c>
      <c r="D1116" s="1" t="s">
        <v>1321</v>
      </c>
      <c r="E1116" s="1" t="s">
        <v>1323</v>
      </c>
      <c r="F11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16" s="1">
        <v>0</v>
      </c>
      <c r="H1116" s="1">
        <v>0</v>
      </c>
      <c r="I1116" s="1">
        <f>Tabela1[[#This Row],[Siblings and Spouses]]+Tabela1[[#This Row],[Parents and Children]]</f>
        <v>0</v>
      </c>
      <c r="J1116" s="3">
        <v>7</v>
      </c>
      <c r="K11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16" s="2" t="s">
        <v>396</v>
      </c>
    </row>
    <row r="1117" spans="1:12" x14ac:dyDescent="0.25">
      <c r="A1117" s="1" t="s">
        <v>1351</v>
      </c>
      <c r="B1117" s="1" t="s">
        <v>1348</v>
      </c>
      <c r="C1117" s="1" t="s">
        <v>1114</v>
      </c>
      <c r="D1117" s="1" t="s">
        <v>1321</v>
      </c>
      <c r="E1117" s="1" t="s">
        <v>1323</v>
      </c>
      <c r="F11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17" s="1">
        <v>0</v>
      </c>
      <c r="H1117" s="1">
        <v>0</v>
      </c>
      <c r="I1117" s="1">
        <f>Tabela1[[#This Row],[Siblings and Spouses]]+Tabela1[[#This Row],[Parents and Children]]</f>
        <v>0</v>
      </c>
      <c r="J1117" s="3">
        <v>7.7750000000000004</v>
      </c>
      <c r="K11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17" s="2" t="s">
        <v>396</v>
      </c>
    </row>
    <row r="1118" spans="1:12" x14ac:dyDescent="0.25">
      <c r="A1118" s="1" t="s">
        <v>1351</v>
      </c>
      <c r="B1118" s="1" t="s">
        <v>1348</v>
      </c>
      <c r="C1118" s="1" t="s">
        <v>1115</v>
      </c>
      <c r="D1118" s="1" t="s">
        <v>1321</v>
      </c>
      <c r="E1118" s="1" t="s">
        <v>1323</v>
      </c>
      <c r="F11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18" s="1">
        <v>0</v>
      </c>
      <c r="H1118" s="1">
        <v>0</v>
      </c>
      <c r="I1118" s="1">
        <f>Tabela1[[#This Row],[Siblings and Spouses]]+Tabela1[[#This Row],[Parents and Children]]</f>
        <v>0</v>
      </c>
      <c r="J1118" s="3">
        <v>8.0500000000000007</v>
      </c>
      <c r="K11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18" s="2" t="s">
        <v>396</v>
      </c>
    </row>
    <row r="1119" spans="1:12" x14ac:dyDescent="0.25">
      <c r="A1119" s="1" t="s">
        <v>1351</v>
      </c>
      <c r="B1119" s="1" t="s">
        <v>1348</v>
      </c>
      <c r="C1119" s="1" t="s">
        <v>1116</v>
      </c>
      <c r="D1119" s="1" t="s">
        <v>1321</v>
      </c>
      <c r="E1119" s="1">
        <v>21</v>
      </c>
      <c r="F11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19" s="1">
        <v>0</v>
      </c>
      <c r="H1119" s="1">
        <v>0</v>
      </c>
      <c r="I1119" s="1">
        <f>Tabela1[[#This Row],[Siblings and Spouses]]+Tabela1[[#This Row],[Parents and Children]]</f>
        <v>0</v>
      </c>
      <c r="J1119" s="3">
        <v>7.9249999999999998</v>
      </c>
      <c r="K11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19" s="2" t="s">
        <v>396</v>
      </c>
    </row>
    <row r="1120" spans="1:12" x14ac:dyDescent="0.25">
      <c r="A1120" s="1" t="s">
        <v>1351</v>
      </c>
      <c r="B1120" s="1" t="s">
        <v>1348</v>
      </c>
      <c r="C1120" s="1" t="s">
        <v>1117</v>
      </c>
      <c r="D1120" s="1" t="s">
        <v>1321</v>
      </c>
      <c r="E1120" s="1">
        <v>25</v>
      </c>
      <c r="F11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0" s="1">
        <v>0</v>
      </c>
      <c r="H1120" s="1">
        <v>0</v>
      </c>
      <c r="I1120" s="1">
        <f>Tabela1[[#This Row],[Siblings and Spouses]]+Tabela1[[#This Row],[Parents and Children]]</f>
        <v>0</v>
      </c>
      <c r="J1120" s="3">
        <v>7.9249999999999998</v>
      </c>
      <c r="K11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0" s="2" t="s">
        <v>396</v>
      </c>
    </row>
    <row r="1121" spans="1:12" x14ac:dyDescent="0.25">
      <c r="A1121" s="1" t="s">
        <v>1351</v>
      </c>
      <c r="B1121" s="1" t="s">
        <v>1348</v>
      </c>
      <c r="C1121" s="1" t="s">
        <v>1118</v>
      </c>
      <c r="D1121" s="1" t="s">
        <v>1321</v>
      </c>
      <c r="E1121" s="1">
        <v>22</v>
      </c>
      <c r="F11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1" s="1">
        <v>0</v>
      </c>
      <c r="H1121" s="1">
        <v>0</v>
      </c>
      <c r="I1121" s="1">
        <f>Tabela1[[#This Row],[Siblings and Spouses]]+Tabela1[[#This Row],[Parents and Children]]</f>
        <v>0</v>
      </c>
      <c r="J1121" s="3">
        <v>7.25</v>
      </c>
      <c r="K11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1" s="2" t="s">
        <v>396</v>
      </c>
    </row>
    <row r="1122" spans="1:12" x14ac:dyDescent="0.25">
      <c r="A1122" s="1" t="s">
        <v>1351</v>
      </c>
      <c r="B1122" s="1" t="s">
        <v>1337</v>
      </c>
      <c r="C1122" s="1" t="s">
        <v>1119</v>
      </c>
      <c r="D1122" s="1" t="s">
        <v>1321</v>
      </c>
      <c r="E1122" s="1">
        <v>25</v>
      </c>
      <c r="F11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2" s="1">
        <v>1</v>
      </c>
      <c r="H1122" s="1">
        <v>0</v>
      </c>
      <c r="I1122" s="1">
        <f>Tabela1[[#This Row],[Siblings and Spouses]]+Tabela1[[#This Row],[Parents and Children]]</f>
        <v>1</v>
      </c>
      <c r="J1122" s="3">
        <v>7.7750000000000004</v>
      </c>
      <c r="K11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2" s="2" t="s">
        <v>396</v>
      </c>
    </row>
    <row r="1123" spans="1:12" x14ac:dyDescent="0.25">
      <c r="A1123" s="1" t="s">
        <v>1351</v>
      </c>
      <c r="B1123" s="1" t="s">
        <v>1337</v>
      </c>
      <c r="C1123" s="1" t="s">
        <v>1120</v>
      </c>
      <c r="D1123" s="1" t="s">
        <v>1321</v>
      </c>
      <c r="E1123" s="1" t="s">
        <v>1323</v>
      </c>
      <c r="F11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23" s="1">
        <v>1</v>
      </c>
      <c r="H1123" s="1">
        <v>1</v>
      </c>
      <c r="I1123" s="1">
        <f>Tabela1[[#This Row],[Siblings and Spouses]]+Tabela1[[#This Row],[Parents and Children]]</f>
        <v>2</v>
      </c>
      <c r="J1123" s="3">
        <v>22.3583</v>
      </c>
      <c r="K11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23" s="2" t="s">
        <v>1318</v>
      </c>
    </row>
    <row r="1124" spans="1:12" x14ac:dyDescent="0.25">
      <c r="A1124" s="1" t="s">
        <v>1351</v>
      </c>
      <c r="B1124" s="1" t="s">
        <v>1337</v>
      </c>
      <c r="C1124" s="1" t="s">
        <v>1121</v>
      </c>
      <c r="D1124" s="1" t="s">
        <v>1320</v>
      </c>
      <c r="E1124" s="1" t="s">
        <v>1323</v>
      </c>
      <c r="F11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24" s="1">
        <v>1</v>
      </c>
      <c r="H1124" s="1">
        <v>1</v>
      </c>
      <c r="I1124" s="1">
        <f>Tabela1[[#This Row],[Siblings and Spouses]]+Tabela1[[#This Row],[Parents and Children]]</f>
        <v>2</v>
      </c>
      <c r="J1124" s="3">
        <v>22.3583</v>
      </c>
      <c r="K11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24" s="2" t="s">
        <v>1318</v>
      </c>
    </row>
    <row r="1125" spans="1:12" x14ac:dyDescent="0.25">
      <c r="A1125" s="1" t="s">
        <v>1351</v>
      </c>
      <c r="B1125" s="1" t="s">
        <v>1337</v>
      </c>
      <c r="C1125" s="1" t="s">
        <v>1122</v>
      </c>
      <c r="D1125" s="1" t="s">
        <v>1320</v>
      </c>
      <c r="E1125" s="1" t="s">
        <v>1323</v>
      </c>
      <c r="F11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25" s="1">
        <v>0</v>
      </c>
      <c r="H1125" s="1">
        <v>2</v>
      </c>
      <c r="I1125" s="1">
        <f>Tabela1[[#This Row],[Siblings and Spouses]]+Tabela1[[#This Row],[Parents and Children]]</f>
        <v>2</v>
      </c>
      <c r="J1125" s="3">
        <v>22.3583</v>
      </c>
      <c r="K11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25" s="2" t="s">
        <v>1318</v>
      </c>
    </row>
    <row r="1126" spans="1:12" x14ac:dyDescent="0.25">
      <c r="A1126" s="1" t="s">
        <v>1351</v>
      </c>
      <c r="B1126" s="1" t="s">
        <v>1348</v>
      </c>
      <c r="C1126" s="1" t="s">
        <v>1123</v>
      </c>
      <c r="D1126" s="1" t="s">
        <v>1320</v>
      </c>
      <c r="E1126" s="1" t="s">
        <v>1323</v>
      </c>
      <c r="F11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26" s="1">
        <v>0</v>
      </c>
      <c r="H1126" s="1">
        <v>0</v>
      </c>
      <c r="I1126" s="1">
        <f>Tabela1[[#This Row],[Siblings and Spouses]]+Tabela1[[#This Row],[Parents and Children]]</f>
        <v>0</v>
      </c>
      <c r="J1126" s="3">
        <v>8.1374999999999993</v>
      </c>
      <c r="K11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6" s="2" t="s">
        <v>1319</v>
      </c>
    </row>
    <row r="1127" spans="1:12" x14ac:dyDescent="0.25">
      <c r="A1127" s="1" t="s">
        <v>1351</v>
      </c>
      <c r="B1127" s="1" t="s">
        <v>1348</v>
      </c>
      <c r="C1127" s="1" t="s">
        <v>1124</v>
      </c>
      <c r="D1127" s="1" t="s">
        <v>1321</v>
      </c>
      <c r="E1127" s="1">
        <v>24</v>
      </c>
      <c r="F11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7" s="1">
        <v>0</v>
      </c>
      <c r="H1127" s="1">
        <v>0</v>
      </c>
      <c r="I1127" s="1">
        <f>Tabela1[[#This Row],[Siblings and Spouses]]+Tabela1[[#This Row],[Parents and Children]]</f>
        <v>0</v>
      </c>
      <c r="J1127" s="3">
        <v>8.0500000000000007</v>
      </c>
      <c r="K11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7" s="2" t="s">
        <v>396</v>
      </c>
    </row>
    <row r="1128" spans="1:12" x14ac:dyDescent="0.25">
      <c r="A1128" s="1" t="s">
        <v>1351</v>
      </c>
      <c r="B1128" s="1" t="s">
        <v>1348</v>
      </c>
      <c r="C1128" s="1" t="s">
        <v>1125</v>
      </c>
      <c r="D1128" s="1" t="s">
        <v>1320</v>
      </c>
      <c r="E1128" s="1">
        <v>28</v>
      </c>
      <c r="F11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8" s="1">
        <v>0</v>
      </c>
      <c r="H1128" s="1">
        <v>0</v>
      </c>
      <c r="I1128" s="1">
        <f>Tabela1[[#This Row],[Siblings and Spouses]]+Tabela1[[#This Row],[Parents and Children]]</f>
        <v>0</v>
      </c>
      <c r="J1128" s="3">
        <v>7.8958000000000004</v>
      </c>
      <c r="K11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8" s="2" t="s">
        <v>396</v>
      </c>
    </row>
    <row r="1129" spans="1:12" x14ac:dyDescent="0.25">
      <c r="A1129" s="1" t="s">
        <v>1351</v>
      </c>
      <c r="B1129" s="1" t="s">
        <v>1348</v>
      </c>
      <c r="C1129" s="1" t="s">
        <v>1126</v>
      </c>
      <c r="D1129" s="1" t="s">
        <v>1321</v>
      </c>
      <c r="E1129" s="1">
        <v>19</v>
      </c>
      <c r="F11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29" s="1">
        <v>0</v>
      </c>
      <c r="H1129" s="1">
        <v>0</v>
      </c>
      <c r="I1129" s="1">
        <f>Tabela1[[#This Row],[Siblings and Spouses]]+Tabela1[[#This Row],[Parents and Children]]</f>
        <v>0</v>
      </c>
      <c r="J1129" s="3">
        <v>7.8958000000000004</v>
      </c>
      <c r="K11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29" s="2" t="s">
        <v>396</v>
      </c>
    </row>
    <row r="1130" spans="1:12" x14ac:dyDescent="0.25">
      <c r="A1130" s="1" t="s">
        <v>1351</v>
      </c>
      <c r="B1130" s="1" t="s">
        <v>1348</v>
      </c>
      <c r="C1130" s="1" t="s">
        <v>1127</v>
      </c>
      <c r="D1130" s="1" t="s">
        <v>1321</v>
      </c>
      <c r="E1130" s="1" t="s">
        <v>1323</v>
      </c>
      <c r="F11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30" s="1">
        <v>0</v>
      </c>
      <c r="H1130" s="1">
        <v>0</v>
      </c>
      <c r="I1130" s="1">
        <f>Tabela1[[#This Row],[Siblings and Spouses]]+Tabela1[[#This Row],[Parents and Children]]</f>
        <v>0</v>
      </c>
      <c r="J1130" s="3">
        <v>7.8958000000000004</v>
      </c>
      <c r="K11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0" s="2" t="s">
        <v>396</v>
      </c>
    </row>
    <row r="1131" spans="1:12" x14ac:dyDescent="0.25">
      <c r="A1131" s="1" t="s">
        <v>1351</v>
      </c>
      <c r="B1131" s="1" t="s">
        <v>1348</v>
      </c>
      <c r="C1131" s="1" t="s">
        <v>1128</v>
      </c>
      <c r="D1131" s="1" t="s">
        <v>1321</v>
      </c>
      <c r="E1131" s="1">
        <v>25</v>
      </c>
      <c r="F11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31" s="1">
        <v>1</v>
      </c>
      <c r="H1131" s="1">
        <v>0</v>
      </c>
      <c r="I1131" s="1">
        <f>Tabela1[[#This Row],[Siblings and Spouses]]+Tabela1[[#This Row],[Parents and Children]]</f>
        <v>1</v>
      </c>
      <c r="J1131" s="3">
        <v>7.7750000000000004</v>
      </c>
      <c r="K11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1" s="2" t="s">
        <v>396</v>
      </c>
    </row>
    <row r="1132" spans="1:12" x14ac:dyDescent="0.25">
      <c r="A1132" s="1" t="s">
        <v>1351</v>
      </c>
      <c r="B1132" s="1" t="s">
        <v>1348</v>
      </c>
      <c r="C1132" s="1" t="s">
        <v>1129</v>
      </c>
      <c r="D1132" s="1" t="s">
        <v>1320</v>
      </c>
      <c r="E1132" s="1">
        <v>18</v>
      </c>
      <c r="F11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32" s="1">
        <v>0</v>
      </c>
      <c r="H1132" s="1">
        <v>0</v>
      </c>
      <c r="I1132" s="1">
        <f>Tabela1[[#This Row],[Siblings and Spouses]]+Tabela1[[#This Row],[Parents and Children]]</f>
        <v>0</v>
      </c>
      <c r="J1132" s="3">
        <v>7.7750000000000004</v>
      </c>
      <c r="K11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2" s="2" t="s">
        <v>396</v>
      </c>
    </row>
    <row r="1133" spans="1:12" x14ac:dyDescent="0.25">
      <c r="A1133" s="1" t="s">
        <v>1351</v>
      </c>
      <c r="B1133" s="1" t="s">
        <v>1337</v>
      </c>
      <c r="C1133" s="1" t="s">
        <v>1130</v>
      </c>
      <c r="D1133" s="1" t="s">
        <v>1321</v>
      </c>
      <c r="E1133" s="1">
        <v>32</v>
      </c>
      <c r="F11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33" s="1">
        <v>0</v>
      </c>
      <c r="H1133" s="1">
        <v>0</v>
      </c>
      <c r="I1133" s="1">
        <f>Tabela1[[#This Row],[Siblings and Spouses]]+Tabela1[[#This Row],[Parents and Children]]</f>
        <v>0</v>
      </c>
      <c r="J1133" s="3">
        <v>8.0500000000000007</v>
      </c>
      <c r="K11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3" s="2" t="s">
        <v>396</v>
      </c>
    </row>
    <row r="1134" spans="1:12" x14ac:dyDescent="0.25">
      <c r="A1134" s="1" t="s">
        <v>1351</v>
      </c>
      <c r="B1134" s="1" t="s">
        <v>1348</v>
      </c>
      <c r="C1134" s="1" t="s">
        <v>1131</v>
      </c>
      <c r="D1134" s="1" t="s">
        <v>1321</v>
      </c>
      <c r="E1134" s="1" t="s">
        <v>1323</v>
      </c>
      <c r="F11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34" s="1">
        <v>0</v>
      </c>
      <c r="H1134" s="1">
        <v>0</v>
      </c>
      <c r="I1134" s="1">
        <f>Tabela1[[#This Row],[Siblings and Spouses]]+Tabela1[[#This Row],[Parents and Children]]</f>
        <v>0</v>
      </c>
      <c r="J1134" s="3">
        <v>7.8958000000000004</v>
      </c>
      <c r="K11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4" s="2" t="s">
        <v>396</v>
      </c>
    </row>
    <row r="1135" spans="1:12" x14ac:dyDescent="0.25">
      <c r="A1135" s="1" t="s">
        <v>1351</v>
      </c>
      <c r="B1135" s="1" t="s">
        <v>1348</v>
      </c>
      <c r="C1135" s="1" t="s">
        <v>1132</v>
      </c>
      <c r="D1135" s="1" t="s">
        <v>1321</v>
      </c>
      <c r="E1135" s="1">
        <v>17</v>
      </c>
      <c r="F11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35" s="1">
        <v>0</v>
      </c>
      <c r="H1135" s="1">
        <v>0</v>
      </c>
      <c r="I1135" s="1">
        <f>Tabela1[[#This Row],[Siblings and Spouses]]+Tabela1[[#This Row],[Parents and Children]]</f>
        <v>0</v>
      </c>
      <c r="J1135" s="3">
        <v>8.6624999999999996</v>
      </c>
      <c r="K11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5" s="2" t="s">
        <v>396</v>
      </c>
    </row>
    <row r="1136" spans="1:12" x14ac:dyDescent="0.25">
      <c r="A1136" s="1" t="s">
        <v>1351</v>
      </c>
      <c r="B1136" s="1" t="s">
        <v>1348</v>
      </c>
      <c r="C1136" s="1" t="s">
        <v>1133</v>
      </c>
      <c r="D1136" s="1" t="s">
        <v>1321</v>
      </c>
      <c r="E1136" s="1">
        <v>24</v>
      </c>
      <c r="F11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36" s="1">
        <v>0</v>
      </c>
      <c r="H1136" s="1">
        <v>0</v>
      </c>
      <c r="I1136" s="1">
        <f>Tabela1[[#This Row],[Siblings and Spouses]]+Tabela1[[#This Row],[Parents and Children]]</f>
        <v>0</v>
      </c>
      <c r="J1136" s="3">
        <v>8.6624999999999996</v>
      </c>
      <c r="K11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6" s="2" t="s">
        <v>396</v>
      </c>
    </row>
    <row r="1137" spans="1:12" x14ac:dyDescent="0.25">
      <c r="A1137" s="1" t="s">
        <v>1351</v>
      </c>
      <c r="B1137" s="1" t="s">
        <v>1348</v>
      </c>
      <c r="C1137" s="1" t="s">
        <v>1134</v>
      </c>
      <c r="D1137" s="1" t="s">
        <v>1321</v>
      </c>
      <c r="E1137" s="1" t="s">
        <v>1323</v>
      </c>
      <c r="F11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37" s="1">
        <v>0</v>
      </c>
      <c r="H1137" s="1">
        <v>0</v>
      </c>
      <c r="I1137" s="1">
        <f>Tabela1[[#This Row],[Siblings and Spouses]]+Tabela1[[#This Row],[Parents and Children]]</f>
        <v>0</v>
      </c>
      <c r="J1137" s="3">
        <v>7.8958000000000004</v>
      </c>
      <c r="K11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7" s="2" t="s">
        <v>396</v>
      </c>
    </row>
    <row r="1138" spans="1:12" x14ac:dyDescent="0.25">
      <c r="A1138" s="1" t="s">
        <v>1351</v>
      </c>
      <c r="B1138" s="1" t="s">
        <v>1348</v>
      </c>
      <c r="C1138" s="1" t="s">
        <v>1135</v>
      </c>
      <c r="D1138" s="1" t="s">
        <v>1320</v>
      </c>
      <c r="E1138" s="1" t="s">
        <v>1323</v>
      </c>
      <c r="F11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38" s="1">
        <v>0</v>
      </c>
      <c r="H1138" s="1">
        <v>0</v>
      </c>
      <c r="I1138" s="1">
        <f>Tabela1[[#This Row],[Siblings and Spouses]]+Tabela1[[#This Row],[Parents and Children]]</f>
        <v>0</v>
      </c>
      <c r="J1138" s="3">
        <v>8.1125000000000007</v>
      </c>
      <c r="K11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8" s="2" t="s">
        <v>396</v>
      </c>
    </row>
    <row r="1139" spans="1:12" x14ac:dyDescent="0.25">
      <c r="A1139" s="1" t="s">
        <v>1351</v>
      </c>
      <c r="B1139" s="1" t="s">
        <v>1348</v>
      </c>
      <c r="C1139" s="1" t="s">
        <v>1136</v>
      </c>
      <c r="D1139" s="1" t="s">
        <v>1321</v>
      </c>
      <c r="E1139" s="1" t="s">
        <v>1323</v>
      </c>
      <c r="F11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39" s="1">
        <v>0</v>
      </c>
      <c r="H1139" s="1">
        <v>0</v>
      </c>
      <c r="I1139" s="1">
        <f>Tabela1[[#This Row],[Siblings and Spouses]]+Tabela1[[#This Row],[Parents and Children]]</f>
        <v>0</v>
      </c>
      <c r="J1139" s="3">
        <v>7.2291999999999996</v>
      </c>
      <c r="K11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39" s="2" t="s">
        <v>1318</v>
      </c>
    </row>
    <row r="1140" spans="1:12" x14ac:dyDescent="0.25">
      <c r="A1140" s="1" t="s">
        <v>1351</v>
      </c>
      <c r="B1140" s="1" t="s">
        <v>1348</v>
      </c>
      <c r="C1140" s="1" t="s">
        <v>1137</v>
      </c>
      <c r="D1140" s="1" t="s">
        <v>1321</v>
      </c>
      <c r="E1140" s="1" t="s">
        <v>1323</v>
      </c>
      <c r="F11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40" s="1">
        <v>0</v>
      </c>
      <c r="H1140" s="1">
        <v>0</v>
      </c>
      <c r="I1140" s="1">
        <f>Tabela1[[#This Row],[Siblings and Spouses]]+Tabela1[[#This Row],[Parents and Children]]</f>
        <v>0</v>
      </c>
      <c r="J1140" s="3">
        <v>7.25</v>
      </c>
      <c r="K11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40" s="2" t="s">
        <v>396</v>
      </c>
    </row>
    <row r="1141" spans="1:12" x14ac:dyDescent="0.25">
      <c r="A1141" s="1" t="s">
        <v>1351</v>
      </c>
      <c r="B1141" s="1" t="s">
        <v>1348</v>
      </c>
      <c r="C1141" s="1" t="s">
        <v>1138</v>
      </c>
      <c r="D1141" s="1" t="s">
        <v>1321</v>
      </c>
      <c r="E1141" s="1">
        <v>38</v>
      </c>
      <c r="F11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41" s="1">
        <v>0</v>
      </c>
      <c r="H1141" s="1">
        <v>0</v>
      </c>
      <c r="I1141" s="1">
        <f>Tabela1[[#This Row],[Siblings and Spouses]]+Tabela1[[#This Row],[Parents and Children]]</f>
        <v>0</v>
      </c>
      <c r="J1141" s="3">
        <v>7.8958000000000004</v>
      </c>
      <c r="K11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41" s="2" t="s">
        <v>396</v>
      </c>
    </row>
    <row r="1142" spans="1:12" x14ac:dyDescent="0.25">
      <c r="A1142" s="1" t="s">
        <v>1351</v>
      </c>
      <c r="B1142" s="1" t="s">
        <v>1348</v>
      </c>
      <c r="C1142" s="1" t="s">
        <v>1139</v>
      </c>
      <c r="D1142" s="1" t="s">
        <v>1321</v>
      </c>
      <c r="E1142" s="1">
        <v>21</v>
      </c>
      <c r="F11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42" s="1">
        <v>0</v>
      </c>
      <c r="H1142" s="1">
        <v>0</v>
      </c>
      <c r="I1142" s="1">
        <f>Tabela1[[#This Row],[Siblings and Spouses]]+Tabela1[[#This Row],[Parents and Children]]</f>
        <v>0</v>
      </c>
      <c r="J1142" s="3">
        <v>8.0500000000000007</v>
      </c>
      <c r="K11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42" s="2" t="s">
        <v>396</v>
      </c>
    </row>
    <row r="1143" spans="1:12" x14ac:dyDescent="0.25">
      <c r="A1143" s="1" t="s">
        <v>1351</v>
      </c>
      <c r="B1143" s="1" t="s">
        <v>1348</v>
      </c>
      <c r="C1143" s="1" t="s">
        <v>1140</v>
      </c>
      <c r="D1143" s="1" t="s">
        <v>1321</v>
      </c>
      <c r="E1143" s="1">
        <v>10</v>
      </c>
      <c r="F11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43" s="1">
        <v>4</v>
      </c>
      <c r="H1143" s="1">
        <v>1</v>
      </c>
      <c r="I1143" s="1">
        <f>Tabela1[[#This Row],[Siblings and Spouses]]+Tabela1[[#This Row],[Parents and Children]]</f>
        <v>5</v>
      </c>
      <c r="J1143" s="3">
        <v>29.125</v>
      </c>
      <c r="K11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3" s="2" t="s">
        <v>1319</v>
      </c>
    </row>
    <row r="1144" spans="1:12" x14ac:dyDescent="0.25">
      <c r="A1144" s="1" t="s">
        <v>1351</v>
      </c>
      <c r="B1144" s="1" t="s">
        <v>1348</v>
      </c>
      <c r="C1144" s="1" t="s">
        <v>1141</v>
      </c>
      <c r="D1144" s="1" t="s">
        <v>1321</v>
      </c>
      <c r="E1144" s="1">
        <v>4</v>
      </c>
      <c r="F11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44" s="1">
        <v>4</v>
      </c>
      <c r="H1144" s="1">
        <v>1</v>
      </c>
      <c r="I1144" s="1">
        <f>Tabela1[[#This Row],[Siblings and Spouses]]+Tabela1[[#This Row],[Parents and Children]]</f>
        <v>5</v>
      </c>
      <c r="J1144" s="3">
        <v>29.125</v>
      </c>
      <c r="K11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4" s="2" t="s">
        <v>1319</v>
      </c>
    </row>
    <row r="1145" spans="1:12" x14ac:dyDescent="0.25">
      <c r="A1145" s="1" t="s">
        <v>1351</v>
      </c>
      <c r="B1145" s="1" t="s">
        <v>1348</v>
      </c>
      <c r="C1145" s="1" t="s">
        <v>1142</v>
      </c>
      <c r="D1145" s="1" t="s">
        <v>1321</v>
      </c>
      <c r="E1145" s="1">
        <v>7</v>
      </c>
      <c r="F11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45" s="1">
        <v>4</v>
      </c>
      <c r="H1145" s="1">
        <v>1</v>
      </c>
      <c r="I1145" s="1">
        <f>Tabela1[[#This Row],[Siblings and Spouses]]+Tabela1[[#This Row],[Parents and Children]]</f>
        <v>5</v>
      </c>
      <c r="J1145" s="3">
        <v>29.125</v>
      </c>
      <c r="K11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5" s="2" t="s">
        <v>1319</v>
      </c>
    </row>
    <row r="1146" spans="1:12" x14ac:dyDescent="0.25">
      <c r="A1146" s="1" t="s">
        <v>1351</v>
      </c>
      <c r="B1146" s="1" t="s">
        <v>1348</v>
      </c>
      <c r="C1146" s="1" t="s">
        <v>1143</v>
      </c>
      <c r="D1146" s="1" t="s">
        <v>1321</v>
      </c>
      <c r="E1146" s="1">
        <v>2</v>
      </c>
      <c r="F11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46" s="1">
        <v>4</v>
      </c>
      <c r="H1146" s="1">
        <v>1</v>
      </c>
      <c r="I1146" s="1">
        <f>Tabela1[[#This Row],[Siblings and Spouses]]+Tabela1[[#This Row],[Parents and Children]]</f>
        <v>5</v>
      </c>
      <c r="J1146" s="3">
        <v>29.125</v>
      </c>
      <c r="K11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6" s="2" t="s">
        <v>1319</v>
      </c>
    </row>
    <row r="1147" spans="1:12" x14ac:dyDescent="0.25">
      <c r="A1147" s="1" t="s">
        <v>1351</v>
      </c>
      <c r="B1147" s="1" t="s">
        <v>1348</v>
      </c>
      <c r="C1147" s="1" t="s">
        <v>1144</v>
      </c>
      <c r="D1147" s="1" t="s">
        <v>1321</v>
      </c>
      <c r="E1147" s="1">
        <v>8</v>
      </c>
      <c r="F11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47" s="1">
        <v>4</v>
      </c>
      <c r="H1147" s="1">
        <v>1</v>
      </c>
      <c r="I1147" s="1">
        <f>Tabela1[[#This Row],[Siblings and Spouses]]+Tabela1[[#This Row],[Parents and Children]]</f>
        <v>5</v>
      </c>
      <c r="J1147" s="3">
        <v>29.125</v>
      </c>
      <c r="K11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7" s="2" t="s">
        <v>1319</v>
      </c>
    </row>
    <row r="1148" spans="1:12" x14ac:dyDescent="0.25">
      <c r="A1148" s="1" t="s">
        <v>1351</v>
      </c>
      <c r="B1148" s="1" t="s">
        <v>1348</v>
      </c>
      <c r="C1148" s="1" t="s">
        <v>1145</v>
      </c>
      <c r="D1148" s="1" t="s">
        <v>1320</v>
      </c>
      <c r="E1148" s="1">
        <v>39</v>
      </c>
      <c r="F11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48" s="1">
        <v>0</v>
      </c>
      <c r="H1148" s="1">
        <v>5</v>
      </c>
      <c r="I1148" s="1">
        <f>Tabela1[[#This Row],[Siblings and Spouses]]+Tabela1[[#This Row],[Parents and Children]]</f>
        <v>5</v>
      </c>
      <c r="J1148" s="3">
        <v>29.125</v>
      </c>
      <c r="K11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8" s="2" t="s">
        <v>1319</v>
      </c>
    </row>
    <row r="1149" spans="1:12" x14ac:dyDescent="0.25">
      <c r="A1149" s="1" t="s">
        <v>1351</v>
      </c>
      <c r="B1149" s="1" t="s">
        <v>1348</v>
      </c>
      <c r="C1149" s="1" t="s">
        <v>1146</v>
      </c>
      <c r="D1149" s="1" t="s">
        <v>1320</v>
      </c>
      <c r="E1149" s="1">
        <v>22</v>
      </c>
      <c r="F11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49" s="1">
        <v>0</v>
      </c>
      <c r="H1149" s="1">
        <v>0</v>
      </c>
      <c r="I1149" s="1">
        <f>Tabela1[[#This Row],[Siblings and Spouses]]+Tabela1[[#This Row],[Parents and Children]]</f>
        <v>0</v>
      </c>
      <c r="J1149" s="3">
        <v>39.6875</v>
      </c>
      <c r="K11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149" s="2" t="s">
        <v>396</v>
      </c>
    </row>
    <row r="1150" spans="1:12" x14ac:dyDescent="0.25">
      <c r="A1150" s="1" t="s">
        <v>1351</v>
      </c>
      <c r="B1150" s="1" t="s">
        <v>1348</v>
      </c>
      <c r="C1150" s="1" t="s">
        <v>1147</v>
      </c>
      <c r="D1150" s="1" t="s">
        <v>1321</v>
      </c>
      <c r="E1150" s="1">
        <v>35</v>
      </c>
      <c r="F11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50" s="1">
        <v>0</v>
      </c>
      <c r="H1150" s="1">
        <v>0</v>
      </c>
      <c r="I1150" s="1">
        <f>Tabela1[[#This Row],[Siblings and Spouses]]+Tabela1[[#This Row],[Parents and Children]]</f>
        <v>0</v>
      </c>
      <c r="J1150" s="3">
        <v>7.125</v>
      </c>
      <c r="K11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50" s="2" t="s">
        <v>396</v>
      </c>
    </row>
    <row r="1151" spans="1:12" x14ac:dyDescent="0.25">
      <c r="A1151" s="1" t="s">
        <v>1351</v>
      </c>
      <c r="B1151" s="1" t="s">
        <v>1337</v>
      </c>
      <c r="C1151" s="1" t="s">
        <v>1148</v>
      </c>
      <c r="D1151" s="1" t="s">
        <v>1320</v>
      </c>
      <c r="E1151" s="1" t="s">
        <v>1323</v>
      </c>
      <c r="F11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51" s="1">
        <v>0</v>
      </c>
      <c r="H1151" s="1">
        <v>0</v>
      </c>
      <c r="I1151" s="1">
        <f>Tabela1[[#This Row],[Siblings and Spouses]]+Tabela1[[#This Row],[Parents and Children]]</f>
        <v>0</v>
      </c>
      <c r="J1151" s="3">
        <v>7.7207999999999997</v>
      </c>
      <c r="K11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51" s="2" t="s">
        <v>1319</v>
      </c>
    </row>
    <row r="1152" spans="1:12" x14ac:dyDescent="0.25">
      <c r="A1152" s="1" t="s">
        <v>1351</v>
      </c>
      <c r="B1152" s="1" t="s">
        <v>1348</v>
      </c>
      <c r="C1152" s="1" t="s">
        <v>1149</v>
      </c>
      <c r="D1152" s="1" t="s">
        <v>1321</v>
      </c>
      <c r="E1152" s="1" t="s">
        <v>1323</v>
      </c>
      <c r="F11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52" s="1">
        <v>0</v>
      </c>
      <c r="H1152" s="1">
        <v>0</v>
      </c>
      <c r="I1152" s="1">
        <f>Tabela1[[#This Row],[Siblings and Spouses]]+Tabela1[[#This Row],[Parents and Children]]</f>
        <v>0</v>
      </c>
      <c r="J1152" s="3">
        <v>14.5</v>
      </c>
      <c r="K11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52" s="2" t="s">
        <v>396</v>
      </c>
    </row>
    <row r="1153" spans="1:12" x14ac:dyDescent="0.25">
      <c r="A1153" s="1" t="s">
        <v>1351</v>
      </c>
      <c r="B1153" s="1" t="s">
        <v>1348</v>
      </c>
      <c r="C1153" s="1" t="s">
        <v>1150</v>
      </c>
      <c r="D1153" s="1" t="s">
        <v>1320</v>
      </c>
      <c r="E1153" s="1" t="s">
        <v>1323</v>
      </c>
      <c r="F11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53" s="1">
        <v>0</v>
      </c>
      <c r="H1153" s="1">
        <v>0</v>
      </c>
      <c r="I1153" s="1">
        <f>Tabela1[[#This Row],[Siblings and Spouses]]+Tabela1[[#This Row],[Parents and Children]]</f>
        <v>0</v>
      </c>
      <c r="J1153" s="3">
        <v>14.5</v>
      </c>
      <c r="K11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53" s="2" t="s">
        <v>396</v>
      </c>
    </row>
    <row r="1154" spans="1:12" x14ac:dyDescent="0.25">
      <c r="A1154" s="1" t="s">
        <v>1351</v>
      </c>
      <c r="B1154" s="1" t="s">
        <v>1348</v>
      </c>
      <c r="C1154" s="1" t="s">
        <v>1151</v>
      </c>
      <c r="D1154" s="1" t="s">
        <v>1321</v>
      </c>
      <c r="E1154" s="1">
        <v>50</v>
      </c>
      <c r="F11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154" s="1">
        <v>1</v>
      </c>
      <c r="H1154" s="1">
        <v>0</v>
      </c>
      <c r="I1154" s="1">
        <f>Tabela1[[#This Row],[Siblings and Spouses]]+Tabela1[[#This Row],[Parents and Children]]</f>
        <v>1</v>
      </c>
      <c r="J1154" s="3">
        <v>14.5</v>
      </c>
      <c r="K11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54" s="2" t="s">
        <v>396</v>
      </c>
    </row>
    <row r="1155" spans="1:12" x14ac:dyDescent="0.25">
      <c r="A1155" s="1" t="s">
        <v>1351</v>
      </c>
      <c r="B1155" s="1" t="s">
        <v>1348</v>
      </c>
      <c r="C1155" s="1" t="s">
        <v>1152</v>
      </c>
      <c r="D1155" s="1" t="s">
        <v>1320</v>
      </c>
      <c r="E1155" s="1">
        <v>47</v>
      </c>
      <c r="F11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155" s="1">
        <v>1</v>
      </c>
      <c r="H1155" s="1">
        <v>0</v>
      </c>
      <c r="I1155" s="1">
        <f>Tabela1[[#This Row],[Siblings and Spouses]]+Tabela1[[#This Row],[Parents and Children]]</f>
        <v>1</v>
      </c>
      <c r="J1155" s="3">
        <v>14.5</v>
      </c>
      <c r="K11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55" s="2" t="s">
        <v>396</v>
      </c>
    </row>
    <row r="1156" spans="1:12" x14ac:dyDescent="0.25">
      <c r="A1156" s="1" t="s">
        <v>1351</v>
      </c>
      <c r="B1156" s="1" t="s">
        <v>1348</v>
      </c>
      <c r="C1156" s="1" t="s">
        <v>1153</v>
      </c>
      <c r="D1156" s="1" t="s">
        <v>1321</v>
      </c>
      <c r="E1156" s="1" t="s">
        <v>1323</v>
      </c>
      <c r="F11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56" s="1">
        <v>0</v>
      </c>
      <c r="H1156" s="1">
        <v>0</v>
      </c>
      <c r="I1156" s="1">
        <f>Tabela1[[#This Row],[Siblings and Spouses]]+Tabela1[[#This Row],[Parents and Children]]</f>
        <v>0</v>
      </c>
      <c r="J1156" s="3">
        <v>8.0500000000000007</v>
      </c>
      <c r="K11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56" s="2" t="s">
        <v>396</v>
      </c>
    </row>
    <row r="1157" spans="1:12" x14ac:dyDescent="0.25">
      <c r="A1157" s="1" t="s">
        <v>1351</v>
      </c>
      <c r="B1157" s="1" t="s">
        <v>1348</v>
      </c>
      <c r="C1157" s="1" t="s">
        <v>1154</v>
      </c>
      <c r="D1157" s="1" t="s">
        <v>1321</v>
      </c>
      <c r="E1157" s="1" t="s">
        <v>1323</v>
      </c>
      <c r="F11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57" s="1">
        <v>0</v>
      </c>
      <c r="H1157" s="1">
        <v>0</v>
      </c>
      <c r="I1157" s="1">
        <f>Tabela1[[#This Row],[Siblings and Spouses]]+Tabela1[[#This Row],[Parents and Children]]</f>
        <v>0</v>
      </c>
      <c r="J1157" s="3">
        <v>7.7750000000000004</v>
      </c>
      <c r="K11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57" s="2" t="s">
        <v>396</v>
      </c>
    </row>
    <row r="1158" spans="1:12" x14ac:dyDescent="0.25">
      <c r="A1158" s="1" t="s">
        <v>1351</v>
      </c>
      <c r="B1158" s="1" t="s">
        <v>1348</v>
      </c>
      <c r="C1158" s="1" t="s">
        <v>1155</v>
      </c>
      <c r="D1158" s="1" t="s">
        <v>1320</v>
      </c>
      <c r="E1158" s="1">
        <v>2</v>
      </c>
      <c r="F11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58" s="1">
        <v>1</v>
      </c>
      <c r="H1158" s="1">
        <v>1</v>
      </c>
      <c r="I1158" s="1">
        <f>Tabela1[[#This Row],[Siblings and Spouses]]+Tabela1[[#This Row],[Parents and Children]]</f>
        <v>2</v>
      </c>
      <c r="J1158" s="3">
        <v>20.212499999999999</v>
      </c>
      <c r="K11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58" s="2" t="s">
        <v>396</v>
      </c>
    </row>
    <row r="1159" spans="1:12" x14ac:dyDescent="0.25">
      <c r="A1159" s="1" t="s">
        <v>1351</v>
      </c>
      <c r="B1159" s="1" t="s">
        <v>1348</v>
      </c>
      <c r="C1159" s="1" t="s">
        <v>1156</v>
      </c>
      <c r="D1159" s="1" t="s">
        <v>1321</v>
      </c>
      <c r="E1159" s="1">
        <v>18</v>
      </c>
      <c r="F11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59" s="1">
        <v>1</v>
      </c>
      <c r="H1159" s="1">
        <v>1</v>
      </c>
      <c r="I1159" s="1">
        <f>Tabela1[[#This Row],[Siblings and Spouses]]+Tabela1[[#This Row],[Parents and Children]]</f>
        <v>2</v>
      </c>
      <c r="J1159" s="3">
        <v>20.212499999999999</v>
      </c>
      <c r="K11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59" s="2" t="s">
        <v>396</v>
      </c>
    </row>
    <row r="1160" spans="1:12" x14ac:dyDescent="0.25">
      <c r="A1160" s="1" t="s">
        <v>1351</v>
      </c>
      <c r="B1160" s="1" t="s">
        <v>1348</v>
      </c>
      <c r="C1160" s="1" t="s">
        <v>1157</v>
      </c>
      <c r="D1160" s="1" t="s">
        <v>1320</v>
      </c>
      <c r="E1160" s="1">
        <v>41</v>
      </c>
      <c r="F11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160" s="1">
        <v>0</v>
      </c>
      <c r="H1160" s="1">
        <v>2</v>
      </c>
      <c r="I1160" s="1">
        <f>Tabela1[[#This Row],[Siblings and Spouses]]+Tabela1[[#This Row],[Parents and Children]]</f>
        <v>2</v>
      </c>
      <c r="J1160" s="3">
        <v>20.212499999999999</v>
      </c>
      <c r="K11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60" s="2" t="s">
        <v>396</v>
      </c>
    </row>
    <row r="1161" spans="1:12" x14ac:dyDescent="0.25">
      <c r="A1161" s="1" t="s">
        <v>1351</v>
      </c>
      <c r="B1161" s="1" t="s">
        <v>1337</v>
      </c>
      <c r="C1161" s="1" t="s">
        <v>1158</v>
      </c>
      <c r="D1161" s="1" t="s">
        <v>1320</v>
      </c>
      <c r="E1161" s="1" t="s">
        <v>1323</v>
      </c>
      <c r="F11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61" s="1">
        <v>0</v>
      </c>
      <c r="H1161" s="1">
        <v>0</v>
      </c>
      <c r="I1161" s="1">
        <f>Tabela1[[#This Row],[Siblings and Spouses]]+Tabela1[[#This Row],[Parents and Children]]</f>
        <v>0</v>
      </c>
      <c r="J1161" s="3">
        <v>8.0500000000000007</v>
      </c>
      <c r="K11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1" s="2" t="s">
        <v>396</v>
      </c>
    </row>
    <row r="1162" spans="1:12" x14ac:dyDescent="0.25">
      <c r="A1162" s="1" t="s">
        <v>1351</v>
      </c>
      <c r="B1162" s="1" t="s">
        <v>1348</v>
      </c>
      <c r="C1162" s="1" t="s">
        <v>1159</v>
      </c>
      <c r="D1162" s="1" t="s">
        <v>1321</v>
      </c>
      <c r="E1162" s="1">
        <v>50</v>
      </c>
      <c r="F11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162" s="1">
        <v>0</v>
      </c>
      <c r="H1162" s="1">
        <v>0</v>
      </c>
      <c r="I1162" s="1">
        <f>Tabela1[[#This Row],[Siblings and Spouses]]+Tabela1[[#This Row],[Parents and Children]]</f>
        <v>0</v>
      </c>
      <c r="J1162" s="3">
        <v>8.0500000000000007</v>
      </c>
      <c r="K11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2" s="2" t="s">
        <v>396</v>
      </c>
    </row>
    <row r="1163" spans="1:12" x14ac:dyDescent="0.25">
      <c r="A1163" s="1" t="s">
        <v>1351</v>
      </c>
      <c r="B1163" s="1" t="s">
        <v>1348</v>
      </c>
      <c r="C1163" s="1" t="s">
        <v>1160</v>
      </c>
      <c r="D1163" s="1" t="s">
        <v>1321</v>
      </c>
      <c r="E1163" s="1">
        <v>16</v>
      </c>
      <c r="F11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63" s="1">
        <v>0</v>
      </c>
      <c r="H1163" s="1">
        <v>0</v>
      </c>
      <c r="I1163" s="1">
        <f>Tabela1[[#This Row],[Siblings and Spouses]]+Tabela1[[#This Row],[Parents and Children]]</f>
        <v>0</v>
      </c>
      <c r="J1163" s="3">
        <v>8.0500000000000007</v>
      </c>
      <c r="K11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3" s="2" t="s">
        <v>396</v>
      </c>
    </row>
    <row r="1164" spans="1:12" x14ac:dyDescent="0.25">
      <c r="A1164" s="1" t="s">
        <v>1351</v>
      </c>
      <c r="B1164" s="1" t="s">
        <v>1337</v>
      </c>
      <c r="C1164" s="1" t="s">
        <v>1161</v>
      </c>
      <c r="D1164" s="1" t="s">
        <v>1321</v>
      </c>
      <c r="E1164" s="1" t="s">
        <v>1323</v>
      </c>
      <c r="F11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64" s="1">
        <v>0</v>
      </c>
      <c r="H1164" s="1">
        <v>0</v>
      </c>
      <c r="I1164" s="1">
        <f>Tabela1[[#This Row],[Siblings and Spouses]]+Tabela1[[#This Row],[Parents and Children]]</f>
        <v>0</v>
      </c>
      <c r="J1164" s="3">
        <v>7.75</v>
      </c>
      <c r="K11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4" s="2" t="s">
        <v>1319</v>
      </c>
    </row>
    <row r="1165" spans="1:12" x14ac:dyDescent="0.25">
      <c r="A1165" s="1" t="s">
        <v>1351</v>
      </c>
      <c r="B1165" s="1" t="s">
        <v>1348</v>
      </c>
      <c r="C1165" s="1" t="s">
        <v>1162</v>
      </c>
      <c r="D1165" s="1" t="s">
        <v>1321</v>
      </c>
      <c r="E1165" s="1" t="s">
        <v>1323</v>
      </c>
      <c r="F11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65" s="1">
        <v>0</v>
      </c>
      <c r="H1165" s="1">
        <v>0</v>
      </c>
      <c r="I1165" s="1">
        <f>Tabela1[[#This Row],[Siblings and Spouses]]+Tabela1[[#This Row],[Parents and Children]]</f>
        <v>0</v>
      </c>
      <c r="J1165" s="3">
        <v>24.15</v>
      </c>
      <c r="K11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65" s="2" t="s">
        <v>1319</v>
      </c>
    </row>
    <row r="1166" spans="1:12" x14ac:dyDescent="0.25">
      <c r="A1166" s="1" t="s">
        <v>1351</v>
      </c>
      <c r="B1166" s="1" t="s">
        <v>1348</v>
      </c>
      <c r="C1166" s="1" t="s">
        <v>1163</v>
      </c>
      <c r="D1166" s="1" t="s">
        <v>1321</v>
      </c>
      <c r="E1166" s="1" t="s">
        <v>1323</v>
      </c>
      <c r="F11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66" s="1">
        <v>0</v>
      </c>
      <c r="H1166" s="1">
        <v>0</v>
      </c>
      <c r="I1166" s="1">
        <f>Tabela1[[#This Row],[Siblings and Spouses]]+Tabela1[[#This Row],[Parents and Children]]</f>
        <v>0</v>
      </c>
      <c r="J1166" s="3">
        <v>7.2291999999999996</v>
      </c>
      <c r="K11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6" s="2" t="s">
        <v>1318</v>
      </c>
    </row>
    <row r="1167" spans="1:12" x14ac:dyDescent="0.25">
      <c r="A1167" s="1" t="s">
        <v>1351</v>
      </c>
      <c r="B1167" s="1" t="s">
        <v>1348</v>
      </c>
      <c r="C1167" s="1" t="s">
        <v>1164</v>
      </c>
      <c r="D1167" s="1" t="s">
        <v>1321</v>
      </c>
      <c r="E1167" s="1">
        <v>25</v>
      </c>
      <c r="F11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67" s="1">
        <v>0</v>
      </c>
      <c r="H1167" s="1">
        <v>0</v>
      </c>
      <c r="I1167" s="1">
        <f>Tabela1[[#This Row],[Siblings and Spouses]]+Tabela1[[#This Row],[Parents and Children]]</f>
        <v>0</v>
      </c>
      <c r="J1167" s="3">
        <v>7.2249999999999996</v>
      </c>
      <c r="K11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7" s="2" t="s">
        <v>1318</v>
      </c>
    </row>
    <row r="1168" spans="1:12" x14ac:dyDescent="0.25">
      <c r="A1168" s="1" t="s">
        <v>1351</v>
      </c>
      <c r="B1168" s="1" t="s">
        <v>1348</v>
      </c>
      <c r="C1168" s="1" t="s">
        <v>1165</v>
      </c>
      <c r="D1168" s="1" t="s">
        <v>1321</v>
      </c>
      <c r="E1168" s="1" t="s">
        <v>1323</v>
      </c>
      <c r="F11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68" s="1">
        <v>0</v>
      </c>
      <c r="H1168" s="1">
        <v>0</v>
      </c>
      <c r="I1168" s="1">
        <f>Tabela1[[#This Row],[Siblings and Spouses]]+Tabela1[[#This Row],[Parents and Children]]</f>
        <v>0</v>
      </c>
      <c r="J1168" s="3">
        <v>7.2249999999999996</v>
      </c>
      <c r="K11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8" s="2" t="s">
        <v>1318</v>
      </c>
    </row>
    <row r="1169" spans="1:12" x14ac:dyDescent="0.25">
      <c r="A1169" s="1" t="s">
        <v>1351</v>
      </c>
      <c r="B1169" s="1" t="s">
        <v>1348</v>
      </c>
      <c r="C1169" s="1" t="s">
        <v>1166</v>
      </c>
      <c r="D1169" s="1" t="s">
        <v>1321</v>
      </c>
      <c r="E1169" s="1" t="s">
        <v>1323</v>
      </c>
      <c r="F11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69" s="1">
        <v>0</v>
      </c>
      <c r="H1169" s="1">
        <v>0</v>
      </c>
      <c r="I1169" s="1">
        <f>Tabela1[[#This Row],[Siblings and Spouses]]+Tabela1[[#This Row],[Parents and Children]]</f>
        <v>0</v>
      </c>
      <c r="J1169" s="3">
        <v>7.7291999999999996</v>
      </c>
      <c r="K11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69" s="2" t="s">
        <v>1319</v>
      </c>
    </row>
    <row r="1170" spans="1:12" x14ac:dyDescent="0.25">
      <c r="A1170" s="1" t="s">
        <v>1351</v>
      </c>
      <c r="B1170" s="1" t="s">
        <v>1348</v>
      </c>
      <c r="C1170" s="1" t="s">
        <v>1167</v>
      </c>
      <c r="D1170" s="1" t="s">
        <v>1321</v>
      </c>
      <c r="E1170" s="1" t="s">
        <v>1323</v>
      </c>
      <c r="F11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0" s="1">
        <v>0</v>
      </c>
      <c r="H1170" s="1">
        <v>0</v>
      </c>
      <c r="I1170" s="1">
        <f>Tabela1[[#This Row],[Siblings and Spouses]]+Tabela1[[#This Row],[Parents and Children]]</f>
        <v>0</v>
      </c>
      <c r="J1170" s="3">
        <v>7.5750000000000002</v>
      </c>
      <c r="K11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70" s="2" t="s">
        <v>396</v>
      </c>
    </row>
    <row r="1171" spans="1:12" x14ac:dyDescent="0.25">
      <c r="A1171" s="1" t="s">
        <v>1351</v>
      </c>
      <c r="B1171" s="1" t="s">
        <v>1348</v>
      </c>
      <c r="C1171" s="1" t="s">
        <v>1168</v>
      </c>
      <c r="D1171" s="1" t="s">
        <v>1321</v>
      </c>
      <c r="E1171" s="1">
        <v>38.5</v>
      </c>
      <c r="F11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71" s="1">
        <v>0</v>
      </c>
      <c r="H1171" s="1">
        <v>0</v>
      </c>
      <c r="I1171" s="1">
        <f>Tabela1[[#This Row],[Siblings and Spouses]]+Tabela1[[#This Row],[Parents and Children]]</f>
        <v>0</v>
      </c>
      <c r="J1171" s="3">
        <v>7.25</v>
      </c>
      <c r="K11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71" s="2" t="s">
        <v>396</v>
      </c>
    </row>
    <row r="1172" spans="1:12" x14ac:dyDescent="0.25">
      <c r="A1172" s="1" t="s">
        <v>1351</v>
      </c>
      <c r="B1172" s="1" t="s">
        <v>1348</v>
      </c>
      <c r="C1172" s="1" t="s">
        <v>1169</v>
      </c>
      <c r="D1172" s="1" t="s">
        <v>1321</v>
      </c>
      <c r="E1172" s="1" t="s">
        <v>1323</v>
      </c>
      <c r="F11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2" s="1">
        <v>8</v>
      </c>
      <c r="H1172" s="1">
        <v>2</v>
      </c>
      <c r="I1172" s="1">
        <f>Tabela1[[#This Row],[Siblings and Spouses]]+Tabela1[[#This Row],[Parents and Children]]</f>
        <v>10</v>
      </c>
      <c r="J1172" s="3">
        <v>69.55</v>
      </c>
      <c r="K11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2" s="2" t="s">
        <v>396</v>
      </c>
    </row>
    <row r="1173" spans="1:12" x14ac:dyDescent="0.25">
      <c r="A1173" s="1" t="s">
        <v>1351</v>
      </c>
      <c r="B1173" s="1" t="s">
        <v>1348</v>
      </c>
      <c r="C1173" s="1" t="s">
        <v>1170</v>
      </c>
      <c r="D1173" s="1" t="s">
        <v>1321</v>
      </c>
      <c r="E1173" s="1">
        <v>14.5</v>
      </c>
      <c r="F11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73" s="1">
        <v>8</v>
      </c>
      <c r="H1173" s="1">
        <v>2</v>
      </c>
      <c r="I1173" s="1">
        <f>Tabela1[[#This Row],[Siblings and Spouses]]+Tabela1[[#This Row],[Parents and Children]]</f>
        <v>10</v>
      </c>
      <c r="J1173" s="3">
        <v>69.55</v>
      </c>
      <c r="K11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3" s="2" t="s">
        <v>396</v>
      </c>
    </row>
    <row r="1174" spans="1:12" x14ac:dyDescent="0.25">
      <c r="A1174" s="1" t="s">
        <v>1351</v>
      </c>
      <c r="B1174" s="1" t="s">
        <v>1348</v>
      </c>
      <c r="C1174" s="1" t="s">
        <v>1171</v>
      </c>
      <c r="D1174" s="1" t="s">
        <v>1320</v>
      </c>
      <c r="E1174" s="1" t="s">
        <v>1323</v>
      </c>
      <c r="F11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4" s="1">
        <v>8</v>
      </c>
      <c r="H1174" s="1">
        <v>2</v>
      </c>
      <c r="I1174" s="1">
        <f>Tabela1[[#This Row],[Siblings and Spouses]]+Tabela1[[#This Row],[Parents and Children]]</f>
        <v>10</v>
      </c>
      <c r="J1174" s="3">
        <v>69.55</v>
      </c>
      <c r="K11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4" s="2" t="s">
        <v>396</v>
      </c>
    </row>
    <row r="1175" spans="1:12" x14ac:dyDescent="0.25">
      <c r="A1175" s="1" t="s">
        <v>1351</v>
      </c>
      <c r="B1175" s="1" t="s">
        <v>1348</v>
      </c>
      <c r="C1175" s="1" t="s">
        <v>1172</v>
      </c>
      <c r="D1175" s="1" t="s">
        <v>1320</v>
      </c>
      <c r="E1175" s="1" t="s">
        <v>1323</v>
      </c>
      <c r="F11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5" s="1">
        <v>8</v>
      </c>
      <c r="H1175" s="1">
        <v>2</v>
      </c>
      <c r="I1175" s="1">
        <f>Tabela1[[#This Row],[Siblings and Spouses]]+Tabela1[[#This Row],[Parents and Children]]</f>
        <v>10</v>
      </c>
      <c r="J1175" s="3">
        <v>69.55</v>
      </c>
      <c r="K11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5" s="2" t="s">
        <v>396</v>
      </c>
    </row>
    <row r="1176" spans="1:12" x14ac:dyDescent="0.25">
      <c r="A1176" s="1" t="s">
        <v>1351</v>
      </c>
      <c r="B1176" s="1" t="s">
        <v>1348</v>
      </c>
      <c r="C1176" s="1" t="s">
        <v>1173</v>
      </c>
      <c r="D1176" s="1" t="s">
        <v>1320</v>
      </c>
      <c r="E1176" s="1" t="s">
        <v>1323</v>
      </c>
      <c r="F11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6" s="1">
        <v>8</v>
      </c>
      <c r="H1176" s="1">
        <v>2</v>
      </c>
      <c r="I1176" s="1">
        <f>Tabela1[[#This Row],[Siblings and Spouses]]+Tabela1[[#This Row],[Parents and Children]]</f>
        <v>10</v>
      </c>
      <c r="J1176" s="3">
        <v>69.55</v>
      </c>
      <c r="K11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6" s="2" t="s">
        <v>396</v>
      </c>
    </row>
    <row r="1177" spans="1:12" x14ac:dyDescent="0.25">
      <c r="A1177" s="1" t="s">
        <v>1351</v>
      </c>
      <c r="B1177" s="1" t="s">
        <v>1348</v>
      </c>
      <c r="C1177" s="1" t="s">
        <v>1174</v>
      </c>
      <c r="D1177" s="1" t="s">
        <v>1320</v>
      </c>
      <c r="E1177" s="1" t="s">
        <v>1323</v>
      </c>
      <c r="F11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7" s="1">
        <v>8</v>
      </c>
      <c r="H1177" s="1">
        <v>2</v>
      </c>
      <c r="I1177" s="1">
        <f>Tabela1[[#This Row],[Siblings and Spouses]]+Tabela1[[#This Row],[Parents and Children]]</f>
        <v>10</v>
      </c>
      <c r="J1177" s="3">
        <v>69.55</v>
      </c>
      <c r="K11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7" s="2" t="s">
        <v>396</v>
      </c>
    </row>
    <row r="1178" spans="1:12" x14ac:dyDescent="0.25">
      <c r="A1178" s="1" t="s">
        <v>1351</v>
      </c>
      <c r="B1178" s="1" t="s">
        <v>1348</v>
      </c>
      <c r="C1178" s="1" t="s">
        <v>1175</v>
      </c>
      <c r="D1178" s="1" t="s">
        <v>1321</v>
      </c>
      <c r="E1178" s="1" t="s">
        <v>1323</v>
      </c>
      <c r="F11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8" s="1">
        <v>8</v>
      </c>
      <c r="H1178" s="1">
        <v>2</v>
      </c>
      <c r="I1178" s="1">
        <f>Tabela1[[#This Row],[Siblings and Spouses]]+Tabela1[[#This Row],[Parents and Children]]</f>
        <v>10</v>
      </c>
      <c r="J1178" s="3">
        <v>69.55</v>
      </c>
      <c r="K11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8" s="2" t="s">
        <v>396</v>
      </c>
    </row>
    <row r="1179" spans="1:12" x14ac:dyDescent="0.25">
      <c r="A1179" s="1" t="s">
        <v>1351</v>
      </c>
      <c r="B1179" s="1" t="s">
        <v>1348</v>
      </c>
      <c r="C1179" s="1" t="s">
        <v>1176</v>
      </c>
      <c r="D1179" s="1" t="s">
        <v>1321</v>
      </c>
      <c r="E1179" s="1" t="s">
        <v>1323</v>
      </c>
      <c r="F11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79" s="1">
        <v>8</v>
      </c>
      <c r="H1179" s="1">
        <v>2</v>
      </c>
      <c r="I1179" s="1">
        <f>Tabela1[[#This Row],[Siblings and Spouses]]+Tabela1[[#This Row],[Parents and Children]]</f>
        <v>10</v>
      </c>
      <c r="J1179" s="3">
        <v>69.55</v>
      </c>
      <c r="K11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79" s="2" t="s">
        <v>396</v>
      </c>
    </row>
    <row r="1180" spans="1:12" x14ac:dyDescent="0.25">
      <c r="A1180" s="1" t="s">
        <v>1351</v>
      </c>
      <c r="B1180" s="1" t="s">
        <v>1348</v>
      </c>
      <c r="C1180" s="1" t="s">
        <v>1177</v>
      </c>
      <c r="D1180" s="1" t="s">
        <v>1321</v>
      </c>
      <c r="E1180" s="1" t="s">
        <v>1323</v>
      </c>
      <c r="F11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80" s="1">
        <v>8</v>
      </c>
      <c r="H1180" s="1">
        <v>2</v>
      </c>
      <c r="I1180" s="1">
        <f>Tabela1[[#This Row],[Siblings and Spouses]]+Tabela1[[#This Row],[Parents and Children]]</f>
        <v>10</v>
      </c>
      <c r="J1180" s="3">
        <v>69.55</v>
      </c>
      <c r="K11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80" s="2" t="s">
        <v>396</v>
      </c>
    </row>
    <row r="1181" spans="1:12" x14ac:dyDescent="0.25">
      <c r="A1181" s="1" t="s">
        <v>1351</v>
      </c>
      <c r="B1181" s="1" t="s">
        <v>1348</v>
      </c>
      <c r="C1181" s="1" t="s">
        <v>1178</v>
      </c>
      <c r="D1181" s="1" t="s">
        <v>1321</v>
      </c>
      <c r="E1181" s="1" t="s">
        <v>1323</v>
      </c>
      <c r="F11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81" s="1">
        <v>1</v>
      </c>
      <c r="H1181" s="1">
        <v>9</v>
      </c>
      <c r="I1181" s="1">
        <f>Tabela1[[#This Row],[Siblings and Spouses]]+Tabela1[[#This Row],[Parents and Children]]</f>
        <v>10</v>
      </c>
      <c r="J1181" s="3">
        <v>69.55</v>
      </c>
      <c r="K11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81" s="2" t="s">
        <v>396</v>
      </c>
    </row>
    <row r="1182" spans="1:12" x14ac:dyDescent="0.25">
      <c r="A1182" s="1" t="s">
        <v>1351</v>
      </c>
      <c r="B1182" s="1" t="s">
        <v>1348</v>
      </c>
      <c r="C1182" s="1" t="s">
        <v>1179</v>
      </c>
      <c r="D1182" s="1" t="s">
        <v>1320</v>
      </c>
      <c r="E1182" s="1" t="s">
        <v>1323</v>
      </c>
      <c r="F11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82" s="1">
        <v>1</v>
      </c>
      <c r="H1182" s="1">
        <v>9</v>
      </c>
      <c r="I1182" s="1">
        <f>Tabela1[[#This Row],[Siblings and Spouses]]+Tabela1[[#This Row],[Parents and Children]]</f>
        <v>10</v>
      </c>
      <c r="J1182" s="3">
        <v>69.55</v>
      </c>
      <c r="K11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£51-£100</v>
      </c>
      <c r="L1182" s="2" t="s">
        <v>396</v>
      </c>
    </row>
    <row r="1183" spans="1:12" x14ac:dyDescent="0.25">
      <c r="A1183" s="1" t="s">
        <v>1351</v>
      </c>
      <c r="B1183" s="1" t="s">
        <v>1348</v>
      </c>
      <c r="C1183" s="1" t="s">
        <v>1180</v>
      </c>
      <c r="D1183" s="1" t="s">
        <v>1321</v>
      </c>
      <c r="E1183" s="1">
        <v>24</v>
      </c>
      <c r="F11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83" s="1">
        <v>0</v>
      </c>
      <c r="H1183" s="1">
        <v>0</v>
      </c>
      <c r="I1183" s="1">
        <f>Tabela1[[#This Row],[Siblings and Spouses]]+Tabela1[[#This Row],[Parents and Children]]</f>
        <v>0</v>
      </c>
      <c r="J1183" s="3">
        <v>9.3249999999999993</v>
      </c>
      <c r="K11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83" s="2" t="s">
        <v>396</v>
      </c>
    </row>
    <row r="1184" spans="1:12" x14ac:dyDescent="0.25">
      <c r="A1184" s="1" t="s">
        <v>1351</v>
      </c>
      <c r="B1184" s="1" t="s">
        <v>1337</v>
      </c>
      <c r="C1184" s="1" t="s">
        <v>1181</v>
      </c>
      <c r="D1184" s="1" t="s">
        <v>1320</v>
      </c>
      <c r="E1184" s="1">
        <v>21</v>
      </c>
      <c r="F11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84" s="1">
        <v>0</v>
      </c>
      <c r="H1184" s="1">
        <v>0</v>
      </c>
      <c r="I1184" s="1">
        <f>Tabela1[[#This Row],[Siblings and Spouses]]+Tabela1[[#This Row],[Parents and Children]]</f>
        <v>0</v>
      </c>
      <c r="J1184" s="3">
        <v>7.65</v>
      </c>
      <c r="K11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84" s="2" t="s">
        <v>396</v>
      </c>
    </row>
    <row r="1185" spans="1:12" x14ac:dyDescent="0.25">
      <c r="A1185" s="1" t="s">
        <v>1351</v>
      </c>
      <c r="B1185" s="1" t="s">
        <v>1348</v>
      </c>
      <c r="C1185" s="1" t="s">
        <v>1182</v>
      </c>
      <c r="D1185" s="1" t="s">
        <v>1321</v>
      </c>
      <c r="E1185" s="1">
        <v>39</v>
      </c>
      <c r="F11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185" s="1">
        <v>0</v>
      </c>
      <c r="H1185" s="1">
        <v>0</v>
      </c>
      <c r="I1185" s="1">
        <f>Tabela1[[#This Row],[Siblings and Spouses]]+Tabela1[[#This Row],[Parents and Children]]</f>
        <v>0</v>
      </c>
      <c r="J1185" s="3">
        <v>7.9249999999999998</v>
      </c>
      <c r="K11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85" s="2" t="s">
        <v>396</v>
      </c>
    </row>
    <row r="1186" spans="1:12" x14ac:dyDescent="0.25">
      <c r="A1186" s="1" t="s">
        <v>1351</v>
      </c>
      <c r="B1186" s="1" t="s">
        <v>1348</v>
      </c>
      <c r="C1186" s="1" t="s">
        <v>1183</v>
      </c>
      <c r="D1186" s="1" t="s">
        <v>1321</v>
      </c>
      <c r="E1186" s="1" t="s">
        <v>1323</v>
      </c>
      <c r="F11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86" s="1">
        <v>2</v>
      </c>
      <c r="H1186" s="1">
        <v>0</v>
      </c>
      <c r="I1186" s="1">
        <f>Tabela1[[#This Row],[Siblings and Spouses]]+Tabela1[[#This Row],[Parents and Children]]</f>
        <v>2</v>
      </c>
      <c r="J1186" s="3">
        <v>21.679200000000002</v>
      </c>
      <c r="K11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86" s="2" t="s">
        <v>1318</v>
      </c>
    </row>
    <row r="1187" spans="1:12" x14ac:dyDescent="0.25">
      <c r="A1187" s="1" t="s">
        <v>1351</v>
      </c>
      <c r="B1187" s="1" t="s">
        <v>1348</v>
      </c>
      <c r="C1187" s="1" t="s">
        <v>1184</v>
      </c>
      <c r="D1187" s="1" t="s">
        <v>1321</v>
      </c>
      <c r="E1187" s="1" t="s">
        <v>1323</v>
      </c>
      <c r="F11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87" s="1">
        <v>2</v>
      </c>
      <c r="H1187" s="1">
        <v>0</v>
      </c>
      <c r="I1187" s="1">
        <f>Tabela1[[#This Row],[Siblings and Spouses]]+Tabela1[[#This Row],[Parents and Children]]</f>
        <v>2</v>
      </c>
      <c r="J1187" s="3">
        <v>21.679200000000002</v>
      </c>
      <c r="K11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87" s="2" t="s">
        <v>1318</v>
      </c>
    </row>
    <row r="1188" spans="1:12" x14ac:dyDescent="0.25">
      <c r="A1188" s="1" t="s">
        <v>1351</v>
      </c>
      <c r="B1188" s="1" t="s">
        <v>1348</v>
      </c>
      <c r="C1188" s="1" t="s">
        <v>1185</v>
      </c>
      <c r="D1188" s="1" t="s">
        <v>1321</v>
      </c>
      <c r="E1188" s="1" t="s">
        <v>1323</v>
      </c>
      <c r="F11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88" s="1">
        <v>2</v>
      </c>
      <c r="H1188" s="1">
        <v>0</v>
      </c>
      <c r="I1188" s="1">
        <f>Tabela1[[#This Row],[Siblings and Spouses]]+Tabela1[[#This Row],[Parents and Children]]</f>
        <v>2</v>
      </c>
      <c r="J1188" s="3">
        <v>21.679200000000002</v>
      </c>
      <c r="K11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88" s="2" t="s">
        <v>1318</v>
      </c>
    </row>
    <row r="1189" spans="1:12" x14ac:dyDescent="0.25">
      <c r="A1189" s="1" t="s">
        <v>1351</v>
      </c>
      <c r="B1189" s="1" t="s">
        <v>1337</v>
      </c>
      <c r="C1189" s="1" t="s">
        <v>1186</v>
      </c>
      <c r="D1189" s="1" t="s">
        <v>1320</v>
      </c>
      <c r="E1189" s="1">
        <v>1</v>
      </c>
      <c r="F11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89" s="1">
        <v>1</v>
      </c>
      <c r="H1189" s="1">
        <v>1</v>
      </c>
      <c r="I1189" s="1">
        <f>Tabela1[[#This Row],[Siblings and Spouses]]+Tabela1[[#This Row],[Parents and Children]]</f>
        <v>2</v>
      </c>
      <c r="J1189" s="3">
        <v>16.7</v>
      </c>
      <c r="K11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89" s="2" t="s">
        <v>396</v>
      </c>
    </row>
    <row r="1190" spans="1:12" x14ac:dyDescent="0.25">
      <c r="A1190" s="1" t="s">
        <v>1351</v>
      </c>
      <c r="B1190" s="1" t="s">
        <v>1337</v>
      </c>
      <c r="C1190" s="1" t="s">
        <v>1187</v>
      </c>
      <c r="D1190" s="1" t="s">
        <v>1320</v>
      </c>
      <c r="E1190" s="1">
        <v>24</v>
      </c>
      <c r="F11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90" s="1">
        <v>0</v>
      </c>
      <c r="H1190" s="1">
        <v>2</v>
      </c>
      <c r="I1190" s="1">
        <f>Tabela1[[#This Row],[Siblings and Spouses]]+Tabela1[[#This Row],[Parents and Children]]</f>
        <v>2</v>
      </c>
      <c r="J1190" s="3">
        <v>16.7</v>
      </c>
      <c r="K11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90" s="2" t="s">
        <v>396</v>
      </c>
    </row>
    <row r="1191" spans="1:12" x14ac:dyDescent="0.25">
      <c r="A1191" s="1" t="s">
        <v>1351</v>
      </c>
      <c r="B1191" s="1" t="s">
        <v>1337</v>
      </c>
      <c r="C1191" s="1" t="s">
        <v>1188</v>
      </c>
      <c r="D1191" s="1" t="s">
        <v>1320</v>
      </c>
      <c r="E1191" s="1">
        <v>4</v>
      </c>
      <c r="F11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191" s="1">
        <v>1</v>
      </c>
      <c r="H1191" s="1">
        <v>1</v>
      </c>
      <c r="I1191" s="1">
        <f>Tabela1[[#This Row],[Siblings and Spouses]]+Tabela1[[#This Row],[Parents and Children]]</f>
        <v>2</v>
      </c>
      <c r="J1191" s="3">
        <v>16.7</v>
      </c>
      <c r="K11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91" s="2" t="s">
        <v>396</v>
      </c>
    </row>
    <row r="1192" spans="1:12" x14ac:dyDescent="0.25">
      <c r="A1192" s="1" t="s">
        <v>1351</v>
      </c>
      <c r="B1192" s="1" t="s">
        <v>1337</v>
      </c>
      <c r="C1192" s="1" t="s">
        <v>1189</v>
      </c>
      <c r="D1192" s="1" t="s">
        <v>1321</v>
      </c>
      <c r="E1192" s="1">
        <v>25</v>
      </c>
      <c r="F11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92" s="1">
        <v>0</v>
      </c>
      <c r="H1192" s="1">
        <v>0</v>
      </c>
      <c r="I1192" s="1">
        <f>Tabela1[[#This Row],[Siblings and Spouses]]+Tabela1[[#This Row],[Parents and Children]]</f>
        <v>0</v>
      </c>
      <c r="J1192" s="3">
        <v>9.5</v>
      </c>
      <c r="K11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2" s="2" t="s">
        <v>396</v>
      </c>
    </row>
    <row r="1193" spans="1:12" x14ac:dyDescent="0.25">
      <c r="A1193" s="1" t="s">
        <v>1351</v>
      </c>
      <c r="B1193" s="1" t="s">
        <v>1348</v>
      </c>
      <c r="C1193" s="1" t="s">
        <v>1190</v>
      </c>
      <c r="D1193" s="1" t="s">
        <v>1321</v>
      </c>
      <c r="E1193" s="1">
        <v>20</v>
      </c>
      <c r="F11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93" s="1">
        <v>0</v>
      </c>
      <c r="H1193" s="1">
        <v>0</v>
      </c>
      <c r="I1193" s="1">
        <f>Tabela1[[#This Row],[Siblings and Spouses]]+Tabela1[[#This Row],[Parents and Children]]</f>
        <v>0</v>
      </c>
      <c r="J1193" s="3">
        <v>8.0500000000000007</v>
      </c>
      <c r="K11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3" s="2" t="s">
        <v>396</v>
      </c>
    </row>
    <row r="1194" spans="1:12" x14ac:dyDescent="0.25">
      <c r="A1194" s="1" t="s">
        <v>1351</v>
      </c>
      <c r="B1194" s="1" t="s">
        <v>1348</v>
      </c>
      <c r="C1194" s="1" t="s">
        <v>1191</v>
      </c>
      <c r="D1194" s="1" t="s">
        <v>1321</v>
      </c>
      <c r="E1194" s="1">
        <v>24.5</v>
      </c>
      <c r="F11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94" s="1">
        <v>0</v>
      </c>
      <c r="H1194" s="1">
        <v>0</v>
      </c>
      <c r="I1194" s="1">
        <f>Tabela1[[#This Row],[Siblings and Spouses]]+Tabela1[[#This Row],[Parents and Children]]</f>
        <v>0</v>
      </c>
      <c r="J1194" s="3">
        <v>8.0500000000000007</v>
      </c>
      <c r="K11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4" s="2" t="s">
        <v>396</v>
      </c>
    </row>
    <row r="1195" spans="1:12" x14ac:dyDescent="0.25">
      <c r="A1195" s="1" t="s">
        <v>1351</v>
      </c>
      <c r="B1195" s="1" t="s">
        <v>1348</v>
      </c>
      <c r="C1195" s="1" t="s">
        <v>1192</v>
      </c>
      <c r="D1195" s="1" t="s">
        <v>1321</v>
      </c>
      <c r="E1195" s="1" t="s">
        <v>1323</v>
      </c>
      <c r="F11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95" s="1">
        <v>0</v>
      </c>
      <c r="H1195" s="1">
        <v>0</v>
      </c>
      <c r="I1195" s="1">
        <f>Tabela1[[#This Row],[Siblings and Spouses]]+Tabela1[[#This Row],[Parents and Children]]</f>
        <v>0</v>
      </c>
      <c r="J1195" s="3">
        <v>7.7249999999999996</v>
      </c>
      <c r="K11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5" s="2" t="s">
        <v>1319</v>
      </c>
    </row>
    <row r="1196" spans="1:12" x14ac:dyDescent="0.25">
      <c r="A1196" s="1" t="s">
        <v>1351</v>
      </c>
      <c r="B1196" s="1" t="s">
        <v>1348</v>
      </c>
      <c r="C1196" s="1" t="s">
        <v>1193</v>
      </c>
      <c r="D1196" s="1" t="s">
        <v>1321</v>
      </c>
      <c r="E1196" s="1" t="s">
        <v>1323</v>
      </c>
      <c r="F11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96" s="1">
        <v>0</v>
      </c>
      <c r="H1196" s="1">
        <v>0</v>
      </c>
      <c r="I1196" s="1">
        <f>Tabela1[[#This Row],[Siblings and Spouses]]+Tabela1[[#This Row],[Parents and Children]]</f>
        <v>0</v>
      </c>
      <c r="J1196" s="3">
        <v>7.8958000000000004</v>
      </c>
      <c r="K11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6" s="2" t="s">
        <v>396</v>
      </c>
    </row>
    <row r="1197" spans="1:12" x14ac:dyDescent="0.25">
      <c r="A1197" s="1" t="s">
        <v>1351</v>
      </c>
      <c r="B1197" s="1" t="s">
        <v>1348</v>
      </c>
      <c r="C1197" s="1" t="s">
        <v>1194</v>
      </c>
      <c r="D1197" s="1" t="s">
        <v>1321</v>
      </c>
      <c r="E1197" s="1" t="s">
        <v>1323</v>
      </c>
      <c r="F11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97" s="1">
        <v>0</v>
      </c>
      <c r="H1197" s="1">
        <v>0</v>
      </c>
      <c r="I1197" s="1">
        <f>Tabela1[[#This Row],[Siblings and Spouses]]+Tabela1[[#This Row],[Parents and Children]]</f>
        <v>0</v>
      </c>
      <c r="J1197" s="3">
        <v>7.75</v>
      </c>
      <c r="K11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7" s="2" t="s">
        <v>1319</v>
      </c>
    </row>
    <row r="1198" spans="1:12" x14ac:dyDescent="0.25">
      <c r="A1198" s="1" t="s">
        <v>1351</v>
      </c>
      <c r="B1198" s="1" t="s">
        <v>1337</v>
      </c>
      <c r="C1198" s="1" t="s">
        <v>1195</v>
      </c>
      <c r="D1198" s="1" t="s">
        <v>1321</v>
      </c>
      <c r="E1198" s="1">
        <v>29</v>
      </c>
      <c r="F11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198" s="1">
        <v>0</v>
      </c>
      <c r="H1198" s="1">
        <v>0</v>
      </c>
      <c r="I1198" s="1">
        <f>Tabela1[[#This Row],[Siblings and Spouses]]+Tabela1[[#This Row],[Parents and Children]]</f>
        <v>0</v>
      </c>
      <c r="J1198" s="3">
        <v>9.5</v>
      </c>
      <c r="K11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198" s="2" t="s">
        <v>396</v>
      </c>
    </row>
    <row r="1199" spans="1:12" x14ac:dyDescent="0.25">
      <c r="A1199" s="1" t="s">
        <v>1351</v>
      </c>
      <c r="B1199" s="1" t="s">
        <v>1348</v>
      </c>
      <c r="C1199" s="1" t="s">
        <v>1196</v>
      </c>
      <c r="D1199" s="1" t="s">
        <v>1321</v>
      </c>
      <c r="E1199" s="1" t="s">
        <v>1323</v>
      </c>
      <c r="F11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199" s="1">
        <v>0</v>
      </c>
      <c r="H1199" s="1">
        <v>0</v>
      </c>
      <c r="I1199" s="1">
        <f>Tabela1[[#This Row],[Siblings and Spouses]]+Tabela1[[#This Row],[Parents and Children]]</f>
        <v>0</v>
      </c>
      <c r="J1199" s="3">
        <v>15.1</v>
      </c>
      <c r="K11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199" s="2" t="s">
        <v>396</v>
      </c>
    </row>
    <row r="1200" spans="1:12" x14ac:dyDescent="0.25">
      <c r="A1200" s="1" t="s">
        <v>1351</v>
      </c>
      <c r="B1200" s="1" t="s">
        <v>1337</v>
      </c>
      <c r="C1200" s="1" t="s">
        <v>1197</v>
      </c>
      <c r="D1200" s="1" t="s">
        <v>1320</v>
      </c>
      <c r="E1200" s="1" t="s">
        <v>1323</v>
      </c>
      <c r="F12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00" s="1">
        <v>0</v>
      </c>
      <c r="H1200" s="1">
        <v>0</v>
      </c>
      <c r="I1200" s="1">
        <f>Tabela1[[#This Row],[Siblings and Spouses]]+Tabela1[[#This Row],[Parents and Children]]</f>
        <v>0</v>
      </c>
      <c r="J1200" s="3">
        <v>7.7792000000000003</v>
      </c>
      <c r="K12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0" s="2" t="s">
        <v>1319</v>
      </c>
    </row>
    <row r="1201" spans="1:12" x14ac:dyDescent="0.25">
      <c r="A1201" s="1" t="s">
        <v>1351</v>
      </c>
      <c r="B1201" s="1" t="s">
        <v>1348</v>
      </c>
      <c r="C1201" s="1" t="s">
        <v>1198</v>
      </c>
      <c r="D1201" s="1" t="s">
        <v>1321</v>
      </c>
      <c r="E1201" s="1" t="s">
        <v>1323</v>
      </c>
      <c r="F12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01" s="1">
        <v>0</v>
      </c>
      <c r="H1201" s="1">
        <v>0</v>
      </c>
      <c r="I1201" s="1">
        <f>Tabela1[[#This Row],[Siblings and Spouses]]+Tabela1[[#This Row],[Parents and Children]]</f>
        <v>0</v>
      </c>
      <c r="J1201" s="3">
        <v>8.0500000000000007</v>
      </c>
      <c r="K12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1" s="2" t="s">
        <v>396</v>
      </c>
    </row>
    <row r="1202" spans="1:12" x14ac:dyDescent="0.25">
      <c r="A1202" s="1" t="s">
        <v>1351</v>
      </c>
      <c r="B1202" s="1" t="s">
        <v>1348</v>
      </c>
      <c r="C1202" s="1" t="s">
        <v>1199</v>
      </c>
      <c r="D1202" s="1" t="s">
        <v>1321</v>
      </c>
      <c r="E1202" s="1" t="s">
        <v>1323</v>
      </c>
      <c r="F12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02" s="1">
        <v>0</v>
      </c>
      <c r="H1202" s="1">
        <v>0</v>
      </c>
      <c r="I1202" s="1">
        <f>Tabela1[[#This Row],[Siblings and Spouses]]+Tabela1[[#This Row],[Parents and Children]]</f>
        <v>0</v>
      </c>
      <c r="J1202" s="3">
        <v>8.0500000000000007</v>
      </c>
      <c r="K12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2" s="2" t="s">
        <v>396</v>
      </c>
    </row>
    <row r="1203" spans="1:12" x14ac:dyDescent="0.25">
      <c r="A1203" s="1" t="s">
        <v>1351</v>
      </c>
      <c r="B1203" s="1" t="s">
        <v>1348</v>
      </c>
      <c r="C1203" s="1" t="s">
        <v>1200</v>
      </c>
      <c r="D1203" s="1" t="s">
        <v>1321</v>
      </c>
      <c r="E1203" s="1">
        <v>22</v>
      </c>
      <c r="F12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03" s="1">
        <v>0</v>
      </c>
      <c r="H1203" s="1">
        <v>0</v>
      </c>
      <c r="I1203" s="1">
        <f>Tabela1[[#This Row],[Siblings and Spouses]]+Tabela1[[#This Row],[Parents and Children]]</f>
        <v>0</v>
      </c>
      <c r="J1203" s="3">
        <v>7.2291999999999996</v>
      </c>
      <c r="K12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3" s="2" t="s">
        <v>1318</v>
      </c>
    </row>
    <row r="1204" spans="1:12" x14ac:dyDescent="0.25">
      <c r="A1204" s="1" t="s">
        <v>1351</v>
      </c>
      <c r="B1204" s="1" t="s">
        <v>1348</v>
      </c>
      <c r="C1204" s="1" t="s">
        <v>1201</v>
      </c>
      <c r="D1204" s="1" t="s">
        <v>1321</v>
      </c>
      <c r="E1204" s="1" t="s">
        <v>1323</v>
      </c>
      <c r="F12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04" s="1">
        <v>0</v>
      </c>
      <c r="H1204" s="1">
        <v>0</v>
      </c>
      <c r="I1204" s="1">
        <f>Tabela1[[#This Row],[Siblings and Spouses]]+Tabela1[[#This Row],[Parents and Children]]</f>
        <v>0</v>
      </c>
      <c r="J1204" s="3">
        <v>8.0500000000000007</v>
      </c>
      <c r="K12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4" s="2" t="s">
        <v>396</v>
      </c>
    </row>
    <row r="1205" spans="1:12" x14ac:dyDescent="0.25">
      <c r="A1205" s="1" t="s">
        <v>1351</v>
      </c>
      <c r="B1205" s="1" t="s">
        <v>1348</v>
      </c>
      <c r="C1205" s="1" t="s">
        <v>1202</v>
      </c>
      <c r="D1205" s="1" t="s">
        <v>1321</v>
      </c>
      <c r="E1205" s="1">
        <v>40</v>
      </c>
      <c r="F12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05" s="1">
        <v>0</v>
      </c>
      <c r="H1205" s="1">
        <v>0</v>
      </c>
      <c r="I1205" s="1">
        <f>Tabela1[[#This Row],[Siblings and Spouses]]+Tabela1[[#This Row],[Parents and Children]]</f>
        <v>0</v>
      </c>
      <c r="J1205" s="3">
        <v>7.8958000000000004</v>
      </c>
      <c r="K12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5" s="2" t="s">
        <v>396</v>
      </c>
    </row>
    <row r="1206" spans="1:12" x14ac:dyDescent="0.25">
      <c r="A1206" s="1" t="s">
        <v>1351</v>
      </c>
      <c r="B1206" s="1" t="s">
        <v>1348</v>
      </c>
      <c r="C1206" s="1" t="s">
        <v>1203</v>
      </c>
      <c r="D1206" s="1" t="s">
        <v>1321</v>
      </c>
      <c r="E1206" s="1">
        <v>21</v>
      </c>
      <c r="F12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06" s="1">
        <v>0</v>
      </c>
      <c r="H1206" s="1">
        <v>0</v>
      </c>
      <c r="I1206" s="1">
        <f>Tabela1[[#This Row],[Siblings and Spouses]]+Tabela1[[#This Row],[Parents and Children]]</f>
        <v>0</v>
      </c>
      <c r="J1206" s="3">
        <v>7.9249999999999998</v>
      </c>
      <c r="K12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6" s="2" t="s">
        <v>396</v>
      </c>
    </row>
    <row r="1207" spans="1:12" x14ac:dyDescent="0.25">
      <c r="A1207" s="1" t="s">
        <v>1351</v>
      </c>
      <c r="B1207" s="1" t="s">
        <v>1337</v>
      </c>
      <c r="C1207" s="1" t="s">
        <v>1204</v>
      </c>
      <c r="D1207" s="1" t="s">
        <v>1320</v>
      </c>
      <c r="E1207" s="1">
        <v>18</v>
      </c>
      <c r="F12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07" s="1">
        <v>0</v>
      </c>
      <c r="H1207" s="1">
        <v>0</v>
      </c>
      <c r="I1207" s="1">
        <f>Tabela1[[#This Row],[Siblings and Spouses]]+Tabela1[[#This Row],[Parents and Children]]</f>
        <v>0</v>
      </c>
      <c r="J1207" s="3">
        <v>7.4958</v>
      </c>
      <c r="K12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07" s="2" t="s">
        <v>396</v>
      </c>
    </row>
    <row r="1208" spans="1:12" x14ac:dyDescent="0.25">
      <c r="A1208" s="1" t="s">
        <v>1351</v>
      </c>
      <c r="B1208" s="1" t="s">
        <v>1348</v>
      </c>
      <c r="C1208" s="1" t="s">
        <v>1205</v>
      </c>
      <c r="D1208" s="1" t="s">
        <v>1321</v>
      </c>
      <c r="E1208" s="1">
        <v>4</v>
      </c>
      <c r="F12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08" s="1">
        <v>3</v>
      </c>
      <c r="H1208" s="1">
        <v>2</v>
      </c>
      <c r="I1208" s="1">
        <f>Tabela1[[#This Row],[Siblings and Spouses]]+Tabela1[[#This Row],[Parents and Children]]</f>
        <v>5</v>
      </c>
      <c r="J1208" s="3">
        <v>27.9</v>
      </c>
      <c r="K12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08" s="2" t="s">
        <v>396</v>
      </c>
    </row>
    <row r="1209" spans="1:12" x14ac:dyDescent="0.25">
      <c r="A1209" s="1" t="s">
        <v>1351</v>
      </c>
      <c r="B1209" s="1" t="s">
        <v>1348</v>
      </c>
      <c r="C1209" s="1" t="s">
        <v>1206</v>
      </c>
      <c r="D1209" s="1" t="s">
        <v>1321</v>
      </c>
      <c r="E1209" s="1">
        <v>10</v>
      </c>
      <c r="F12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09" s="1">
        <v>3</v>
      </c>
      <c r="H1209" s="1">
        <v>2</v>
      </c>
      <c r="I1209" s="1">
        <f>Tabela1[[#This Row],[Siblings and Spouses]]+Tabela1[[#This Row],[Parents and Children]]</f>
        <v>5</v>
      </c>
      <c r="J1209" s="3">
        <v>27.9</v>
      </c>
      <c r="K12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09" s="2" t="s">
        <v>396</v>
      </c>
    </row>
    <row r="1210" spans="1:12" x14ac:dyDescent="0.25">
      <c r="A1210" s="1" t="s">
        <v>1351</v>
      </c>
      <c r="B1210" s="1" t="s">
        <v>1348</v>
      </c>
      <c r="C1210" s="1" t="s">
        <v>1207</v>
      </c>
      <c r="D1210" s="1" t="s">
        <v>1320</v>
      </c>
      <c r="E1210" s="1">
        <v>9</v>
      </c>
      <c r="F12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10" s="1">
        <v>3</v>
      </c>
      <c r="H1210" s="1">
        <v>2</v>
      </c>
      <c r="I1210" s="1">
        <f>Tabela1[[#This Row],[Siblings and Spouses]]+Tabela1[[#This Row],[Parents and Children]]</f>
        <v>5</v>
      </c>
      <c r="J1210" s="3">
        <v>27.9</v>
      </c>
      <c r="K12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10" s="2" t="s">
        <v>396</v>
      </c>
    </row>
    <row r="1211" spans="1:12" x14ac:dyDescent="0.25">
      <c r="A1211" s="1" t="s">
        <v>1351</v>
      </c>
      <c r="B1211" s="1" t="s">
        <v>1348</v>
      </c>
      <c r="C1211" s="1" t="s">
        <v>1208</v>
      </c>
      <c r="D1211" s="1" t="s">
        <v>1320</v>
      </c>
      <c r="E1211" s="1">
        <v>2</v>
      </c>
      <c r="F121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11" s="1">
        <v>3</v>
      </c>
      <c r="H1211" s="1">
        <v>2</v>
      </c>
      <c r="I1211" s="1">
        <f>Tabela1[[#This Row],[Siblings and Spouses]]+Tabela1[[#This Row],[Parents and Children]]</f>
        <v>5</v>
      </c>
      <c r="J1211" s="3">
        <v>27.9</v>
      </c>
      <c r="K121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11" s="2" t="s">
        <v>396</v>
      </c>
    </row>
    <row r="1212" spans="1:12" x14ac:dyDescent="0.25">
      <c r="A1212" s="1" t="s">
        <v>1351</v>
      </c>
      <c r="B1212" s="1" t="s">
        <v>1348</v>
      </c>
      <c r="C1212" s="1" t="s">
        <v>1209</v>
      </c>
      <c r="D1212" s="1" t="s">
        <v>1321</v>
      </c>
      <c r="E1212" s="1">
        <v>40</v>
      </c>
      <c r="F121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12" s="1">
        <v>1</v>
      </c>
      <c r="H1212" s="1">
        <v>4</v>
      </c>
      <c r="I1212" s="1">
        <f>Tabela1[[#This Row],[Siblings and Spouses]]+Tabela1[[#This Row],[Parents and Children]]</f>
        <v>5</v>
      </c>
      <c r="J1212" s="3">
        <v>27.9</v>
      </c>
      <c r="K121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12" s="2" t="s">
        <v>396</v>
      </c>
    </row>
    <row r="1213" spans="1:12" x14ac:dyDescent="0.25">
      <c r="A1213" s="1" t="s">
        <v>1351</v>
      </c>
      <c r="B1213" s="1" t="s">
        <v>1348</v>
      </c>
      <c r="C1213" s="1" t="s">
        <v>1210</v>
      </c>
      <c r="D1213" s="1" t="s">
        <v>1320</v>
      </c>
      <c r="E1213" s="1">
        <v>45</v>
      </c>
      <c r="F121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13" s="1">
        <v>1</v>
      </c>
      <c r="H1213" s="1">
        <v>4</v>
      </c>
      <c r="I1213" s="1">
        <f>Tabela1[[#This Row],[Siblings and Spouses]]+Tabela1[[#This Row],[Parents and Children]]</f>
        <v>5</v>
      </c>
      <c r="J1213" s="3">
        <v>27.9</v>
      </c>
      <c r="K121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£26-£50</v>
      </c>
      <c r="L1213" s="2" t="s">
        <v>396</v>
      </c>
    </row>
    <row r="1214" spans="1:12" x14ac:dyDescent="0.25">
      <c r="A1214" s="1" t="s">
        <v>1351</v>
      </c>
      <c r="B1214" s="1" t="s">
        <v>1348</v>
      </c>
      <c r="C1214" s="1" t="s">
        <v>1211</v>
      </c>
      <c r="D1214" s="1" t="s">
        <v>1321</v>
      </c>
      <c r="E1214" s="1" t="s">
        <v>1323</v>
      </c>
      <c r="F121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14" s="1">
        <v>0</v>
      </c>
      <c r="H1214" s="1">
        <v>0</v>
      </c>
      <c r="I1214" s="1">
        <f>Tabela1[[#This Row],[Siblings and Spouses]]+Tabela1[[#This Row],[Parents and Children]]</f>
        <v>0</v>
      </c>
      <c r="J1214" s="3">
        <v>7.8958000000000004</v>
      </c>
      <c r="K121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14" s="2" t="s">
        <v>396</v>
      </c>
    </row>
    <row r="1215" spans="1:12" x14ac:dyDescent="0.25">
      <c r="A1215" s="1" t="s">
        <v>1351</v>
      </c>
      <c r="B1215" s="1" t="s">
        <v>1348</v>
      </c>
      <c r="C1215" s="1" t="s">
        <v>1212</v>
      </c>
      <c r="D1215" s="1" t="s">
        <v>1321</v>
      </c>
      <c r="E1215" s="1" t="s">
        <v>1323</v>
      </c>
      <c r="F121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15" s="1">
        <v>0</v>
      </c>
      <c r="H1215" s="1">
        <v>0</v>
      </c>
      <c r="I1215" s="1">
        <f>Tabela1[[#This Row],[Siblings and Spouses]]+Tabela1[[#This Row],[Parents and Children]]</f>
        <v>0</v>
      </c>
      <c r="J1215" s="3">
        <v>8.0500000000000007</v>
      </c>
      <c r="K121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15" s="2" t="s">
        <v>396</v>
      </c>
    </row>
    <row r="1216" spans="1:12" x14ac:dyDescent="0.25">
      <c r="A1216" s="1" t="s">
        <v>1351</v>
      </c>
      <c r="B1216" s="1" t="s">
        <v>1348</v>
      </c>
      <c r="C1216" s="1" t="s">
        <v>1213</v>
      </c>
      <c r="D1216" s="1" t="s">
        <v>1321</v>
      </c>
      <c r="E1216" s="1" t="s">
        <v>1323</v>
      </c>
      <c r="F121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16" s="1">
        <v>0</v>
      </c>
      <c r="H1216" s="1">
        <v>0</v>
      </c>
      <c r="I1216" s="1">
        <f>Tabela1[[#This Row],[Siblings and Spouses]]+Tabela1[[#This Row],[Parents and Children]]</f>
        <v>0</v>
      </c>
      <c r="J1216" s="3">
        <v>8.6624999999999996</v>
      </c>
      <c r="K121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16" s="2" t="s">
        <v>396</v>
      </c>
    </row>
    <row r="1217" spans="1:12" x14ac:dyDescent="0.25">
      <c r="A1217" s="1" t="s">
        <v>1351</v>
      </c>
      <c r="B1217" s="1" t="s">
        <v>1348</v>
      </c>
      <c r="C1217" s="1" t="s">
        <v>1214</v>
      </c>
      <c r="D1217" s="1" t="s">
        <v>1321</v>
      </c>
      <c r="E1217" s="1" t="s">
        <v>1323</v>
      </c>
      <c r="F121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17" s="1">
        <v>0</v>
      </c>
      <c r="H1217" s="1">
        <v>0</v>
      </c>
      <c r="I1217" s="1">
        <f>Tabela1[[#This Row],[Siblings and Spouses]]+Tabela1[[#This Row],[Parents and Children]]</f>
        <v>0</v>
      </c>
      <c r="J1217" s="3">
        <v>7.75</v>
      </c>
      <c r="K121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17" s="2" t="s">
        <v>1319</v>
      </c>
    </row>
    <row r="1218" spans="1:12" x14ac:dyDescent="0.25">
      <c r="A1218" s="1" t="s">
        <v>1351</v>
      </c>
      <c r="B1218" s="1" t="s">
        <v>1337</v>
      </c>
      <c r="C1218" s="1" t="s">
        <v>1215</v>
      </c>
      <c r="D1218" s="1" t="s">
        <v>1320</v>
      </c>
      <c r="E1218" s="1" t="s">
        <v>1323</v>
      </c>
      <c r="F121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18" s="1">
        <v>0</v>
      </c>
      <c r="H1218" s="1">
        <v>0</v>
      </c>
      <c r="I1218" s="1">
        <f>Tabela1[[#This Row],[Siblings and Spouses]]+Tabela1[[#This Row],[Parents and Children]]</f>
        <v>0</v>
      </c>
      <c r="J1218" s="3">
        <v>7.7332999999999998</v>
      </c>
      <c r="K121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18" s="2" t="s">
        <v>1319</v>
      </c>
    </row>
    <row r="1219" spans="1:12" x14ac:dyDescent="0.25">
      <c r="A1219" s="1" t="s">
        <v>1351</v>
      </c>
      <c r="B1219" s="1" t="s">
        <v>1348</v>
      </c>
      <c r="C1219" s="1" t="s">
        <v>1216</v>
      </c>
      <c r="D1219" s="1" t="s">
        <v>1321</v>
      </c>
      <c r="E1219" s="1">
        <v>19</v>
      </c>
      <c r="F121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19" s="1">
        <v>0</v>
      </c>
      <c r="H1219" s="1">
        <v>0</v>
      </c>
      <c r="I1219" s="1">
        <f>Tabela1[[#This Row],[Siblings and Spouses]]+Tabela1[[#This Row],[Parents and Children]]</f>
        <v>0</v>
      </c>
      <c r="J1219" s="3">
        <v>7.65</v>
      </c>
      <c r="K121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19" s="2" t="s">
        <v>396</v>
      </c>
    </row>
    <row r="1220" spans="1:12" x14ac:dyDescent="0.25">
      <c r="A1220" s="1" t="s">
        <v>1351</v>
      </c>
      <c r="B1220" s="1" t="s">
        <v>1348</v>
      </c>
      <c r="C1220" s="1" t="s">
        <v>1217</v>
      </c>
      <c r="D1220" s="1" t="s">
        <v>1321</v>
      </c>
      <c r="E1220" s="1">
        <v>30</v>
      </c>
      <c r="F122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20" s="1">
        <v>0</v>
      </c>
      <c r="H1220" s="1">
        <v>0</v>
      </c>
      <c r="I1220" s="1">
        <f>Tabela1[[#This Row],[Siblings and Spouses]]+Tabela1[[#This Row],[Parents and Children]]</f>
        <v>0</v>
      </c>
      <c r="J1220" s="3">
        <v>8.0500000000000007</v>
      </c>
      <c r="K122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0" s="2" t="s">
        <v>396</v>
      </c>
    </row>
    <row r="1221" spans="1:12" x14ac:dyDescent="0.25">
      <c r="A1221" s="1" t="s">
        <v>1351</v>
      </c>
      <c r="B1221" s="1" t="s">
        <v>1348</v>
      </c>
      <c r="C1221" s="1" t="s">
        <v>1218</v>
      </c>
      <c r="D1221" s="1" t="s">
        <v>1321</v>
      </c>
      <c r="E1221" s="1" t="s">
        <v>1323</v>
      </c>
      <c r="F122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21" s="1">
        <v>0</v>
      </c>
      <c r="H1221" s="1">
        <v>0</v>
      </c>
      <c r="I1221" s="1">
        <f>Tabela1[[#This Row],[Siblings and Spouses]]+Tabela1[[#This Row],[Parents and Children]]</f>
        <v>0</v>
      </c>
      <c r="J1221" s="3">
        <v>8.0500000000000007</v>
      </c>
      <c r="K122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1" s="2" t="s">
        <v>396</v>
      </c>
    </row>
    <row r="1222" spans="1:12" x14ac:dyDescent="0.25">
      <c r="A1222" s="1" t="s">
        <v>1351</v>
      </c>
      <c r="B1222" s="1" t="s">
        <v>1348</v>
      </c>
      <c r="C1222" s="1" t="s">
        <v>1219</v>
      </c>
      <c r="D1222" s="1" t="s">
        <v>1321</v>
      </c>
      <c r="E1222" s="1">
        <v>32</v>
      </c>
      <c r="F122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22" s="1">
        <v>0</v>
      </c>
      <c r="H1222" s="1">
        <v>0</v>
      </c>
      <c r="I1222" s="1">
        <f>Tabela1[[#This Row],[Siblings and Spouses]]+Tabela1[[#This Row],[Parents and Children]]</f>
        <v>0</v>
      </c>
      <c r="J1222" s="3">
        <v>8.0500000000000007</v>
      </c>
      <c r="K122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2" s="2" t="s">
        <v>396</v>
      </c>
    </row>
    <row r="1223" spans="1:12" x14ac:dyDescent="0.25">
      <c r="A1223" s="1" t="s">
        <v>1351</v>
      </c>
      <c r="B1223" s="1" t="s">
        <v>1348</v>
      </c>
      <c r="C1223" s="1" t="s">
        <v>1220</v>
      </c>
      <c r="D1223" s="1" t="s">
        <v>1321</v>
      </c>
      <c r="E1223" s="1" t="s">
        <v>1323</v>
      </c>
      <c r="F122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23" s="1">
        <v>0</v>
      </c>
      <c r="H1223" s="1">
        <v>0</v>
      </c>
      <c r="I1223" s="1">
        <f>Tabela1[[#This Row],[Siblings and Spouses]]+Tabela1[[#This Row],[Parents and Children]]</f>
        <v>0</v>
      </c>
      <c r="J1223" s="3">
        <v>7.8958000000000004</v>
      </c>
      <c r="K122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3" s="2" t="s">
        <v>396</v>
      </c>
    </row>
    <row r="1224" spans="1:12" x14ac:dyDescent="0.25">
      <c r="A1224" s="1" t="s">
        <v>1351</v>
      </c>
      <c r="B1224" s="1" t="s">
        <v>1348</v>
      </c>
      <c r="C1224" s="1" t="s">
        <v>1221</v>
      </c>
      <c r="D1224" s="1" t="s">
        <v>1321</v>
      </c>
      <c r="E1224" s="1">
        <v>33</v>
      </c>
      <c r="F122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24" s="1">
        <v>0</v>
      </c>
      <c r="H1224" s="1">
        <v>0</v>
      </c>
      <c r="I1224" s="1">
        <f>Tabela1[[#This Row],[Siblings and Spouses]]+Tabela1[[#This Row],[Parents and Children]]</f>
        <v>0</v>
      </c>
      <c r="J1224" s="3">
        <v>8.6624999999999996</v>
      </c>
      <c r="K122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4" s="2" t="s">
        <v>1318</v>
      </c>
    </row>
    <row r="1225" spans="1:12" x14ac:dyDescent="0.25">
      <c r="A1225" s="1" t="s">
        <v>1351</v>
      </c>
      <c r="B1225" s="1" t="s">
        <v>1337</v>
      </c>
      <c r="C1225" s="1" t="s">
        <v>1222</v>
      </c>
      <c r="D1225" s="1" t="s">
        <v>1320</v>
      </c>
      <c r="E1225" s="1">
        <v>23</v>
      </c>
      <c r="F122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25" s="1">
        <v>0</v>
      </c>
      <c r="H1225" s="1">
        <v>0</v>
      </c>
      <c r="I1225" s="1">
        <f>Tabela1[[#This Row],[Siblings and Spouses]]+Tabela1[[#This Row],[Parents and Children]]</f>
        <v>0</v>
      </c>
      <c r="J1225" s="3">
        <v>7.55</v>
      </c>
      <c r="K122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5" s="2" t="s">
        <v>396</v>
      </c>
    </row>
    <row r="1226" spans="1:12" x14ac:dyDescent="0.25">
      <c r="A1226" s="1" t="s">
        <v>1351</v>
      </c>
      <c r="B1226" s="1" t="s">
        <v>1348</v>
      </c>
      <c r="C1226" s="1" t="s">
        <v>1223</v>
      </c>
      <c r="D1226" s="1" t="s">
        <v>1321</v>
      </c>
      <c r="E1226" s="1">
        <v>21</v>
      </c>
      <c r="F122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26" s="1">
        <v>0</v>
      </c>
      <c r="H1226" s="1">
        <v>0</v>
      </c>
      <c r="I1226" s="1">
        <f>Tabela1[[#This Row],[Siblings and Spouses]]+Tabela1[[#This Row],[Parents and Children]]</f>
        <v>0</v>
      </c>
      <c r="J1226" s="3">
        <v>8.0500000000000007</v>
      </c>
      <c r="K122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6" s="2" t="s">
        <v>396</v>
      </c>
    </row>
    <row r="1227" spans="1:12" x14ac:dyDescent="0.25">
      <c r="A1227" s="1" t="s">
        <v>1351</v>
      </c>
      <c r="B1227" s="1" t="s">
        <v>1348</v>
      </c>
      <c r="C1227" s="1" t="s">
        <v>1224</v>
      </c>
      <c r="D1227" s="1" t="s">
        <v>1321</v>
      </c>
      <c r="E1227" s="1">
        <v>60.5</v>
      </c>
      <c r="F122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227" s="1">
        <v>0</v>
      </c>
      <c r="H1227" s="1">
        <v>0</v>
      </c>
      <c r="I1227" s="1">
        <f>Tabela1[[#This Row],[Siblings and Spouses]]+Tabela1[[#This Row],[Parents and Children]]</f>
        <v>0</v>
      </c>
      <c r="J1227" s="3"/>
      <c r="K122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7" s="2" t="s">
        <v>396</v>
      </c>
    </row>
    <row r="1228" spans="1:12" x14ac:dyDescent="0.25">
      <c r="A1228" s="1" t="s">
        <v>1351</v>
      </c>
      <c r="B1228" s="1" t="s">
        <v>1348</v>
      </c>
      <c r="C1228" s="1" t="s">
        <v>1225</v>
      </c>
      <c r="D1228" s="1" t="s">
        <v>1321</v>
      </c>
      <c r="E1228" s="1">
        <v>19</v>
      </c>
      <c r="F122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28" s="1">
        <v>0</v>
      </c>
      <c r="H1228" s="1">
        <v>0</v>
      </c>
      <c r="I1228" s="1">
        <f>Tabela1[[#This Row],[Siblings and Spouses]]+Tabela1[[#This Row],[Parents and Children]]</f>
        <v>0</v>
      </c>
      <c r="J1228" s="3">
        <v>7.8958000000000004</v>
      </c>
      <c r="K122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8" s="2" t="s">
        <v>396</v>
      </c>
    </row>
    <row r="1229" spans="1:12" x14ac:dyDescent="0.25">
      <c r="A1229" s="1" t="s">
        <v>1351</v>
      </c>
      <c r="B1229" s="1" t="s">
        <v>1348</v>
      </c>
      <c r="C1229" s="1" t="s">
        <v>1226</v>
      </c>
      <c r="D1229" s="1" t="s">
        <v>1320</v>
      </c>
      <c r="E1229" s="1">
        <v>22</v>
      </c>
      <c r="F122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29" s="1">
        <v>0</v>
      </c>
      <c r="H1229" s="1">
        <v>0</v>
      </c>
      <c r="I1229" s="1">
        <f>Tabela1[[#This Row],[Siblings and Spouses]]+Tabela1[[#This Row],[Parents and Children]]</f>
        <v>0</v>
      </c>
      <c r="J1229" s="3">
        <v>9.8375000000000004</v>
      </c>
      <c r="K122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29" s="2" t="s">
        <v>396</v>
      </c>
    </row>
    <row r="1230" spans="1:12" x14ac:dyDescent="0.25">
      <c r="A1230" s="1" t="s">
        <v>1351</v>
      </c>
      <c r="B1230" s="1" t="s">
        <v>1337</v>
      </c>
      <c r="C1230" s="1" t="s">
        <v>1227</v>
      </c>
      <c r="D1230" s="1" t="s">
        <v>1321</v>
      </c>
      <c r="E1230" s="1">
        <v>31</v>
      </c>
      <c r="F123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30" s="1">
        <v>0</v>
      </c>
      <c r="H1230" s="1">
        <v>0</v>
      </c>
      <c r="I1230" s="1">
        <f>Tabela1[[#This Row],[Siblings and Spouses]]+Tabela1[[#This Row],[Parents and Children]]</f>
        <v>0</v>
      </c>
      <c r="J1230" s="3">
        <v>7.9249999999999998</v>
      </c>
      <c r="K123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0" s="2" t="s">
        <v>396</v>
      </c>
    </row>
    <row r="1231" spans="1:12" x14ac:dyDescent="0.25">
      <c r="A1231" s="1" t="s">
        <v>1351</v>
      </c>
      <c r="B1231" s="1" t="s">
        <v>1348</v>
      </c>
      <c r="C1231" s="1" t="s">
        <v>1228</v>
      </c>
      <c r="D1231" s="1" t="s">
        <v>1321</v>
      </c>
      <c r="E1231" s="1">
        <v>27</v>
      </c>
      <c r="F123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31" s="1">
        <v>0</v>
      </c>
      <c r="H1231" s="1">
        <v>0</v>
      </c>
      <c r="I1231" s="1">
        <f>Tabela1[[#This Row],[Siblings and Spouses]]+Tabela1[[#This Row],[Parents and Children]]</f>
        <v>0</v>
      </c>
      <c r="J1231" s="3">
        <v>8.6624999999999996</v>
      </c>
      <c r="K123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1" s="2" t="s">
        <v>396</v>
      </c>
    </row>
    <row r="1232" spans="1:12" x14ac:dyDescent="0.25">
      <c r="A1232" s="1" t="s">
        <v>1351</v>
      </c>
      <c r="B1232" s="1" t="s">
        <v>1348</v>
      </c>
      <c r="C1232" s="1" t="s">
        <v>1229</v>
      </c>
      <c r="D1232" s="1" t="s">
        <v>1320</v>
      </c>
      <c r="E1232" s="1">
        <v>2</v>
      </c>
      <c r="F123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32" s="1">
        <v>0</v>
      </c>
      <c r="H1232" s="1">
        <v>1</v>
      </c>
      <c r="I1232" s="1">
        <f>Tabela1[[#This Row],[Siblings and Spouses]]+Tabela1[[#This Row],[Parents and Children]]</f>
        <v>1</v>
      </c>
      <c r="J1232" s="3">
        <v>10.4625</v>
      </c>
      <c r="K123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32" s="2" t="s">
        <v>396</v>
      </c>
    </row>
    <row r="1233" spans="1:12" x14ac:dyDescent="0.25">
      <c r="A1233" s="1" t="s">
        <v>1351</v>
      </c>
      <c r="B1233" s="1" t="s">
        <v>1348</v>
      </c>
      <c r="C1233" s="1" t="s">
        <v>1230</v>
      </c>
      <c r="D1233" s="1" t="s">
        <v>1320</v>
      </c>
      <c r="E1233" s="1">
        <v>29</v>
      </c>
      <c r="F123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33" s="1">
        <v>1</v>
      </c>
      <c r="H1233" s="1">
        <v>1</v>
      </c>
      <c r="I1233" s="1">
        <f>Tabela1[[#This Row],[Siblings and Spouses]]+Tabela1[[#This Row],[Parents and Children]]</f>
        <v>2</v>
      </c>
      <c r="J1233" s="3">
        <v>10.4625</v>
      </c>
      <c r="K123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33" s="2" t="s">
        <v>396</v>
      </c>
    </row>
    <row r="1234" spans="1:12" x14ac:dyDescent="0.25">
      <c r="A1234" s="1" t="s">
        <v>1351</v>
      </c>
      <c r="B1234" s="1" t="s">
        <v>1337</v>
      </c>
      <c r="C1234" s="1" t="s">
        <v>1231</v>
      </c>
      <c r="D1234" s="1" t="s">
        <v>1321</v>
      </c>
      <c r="E1234" s="1">
        <v>16</v>
      </c>
      <c r="F123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34" s="1">
        <v>0</v>
      </c>
      <c r="H1234" s="1">
        <v>0</v>
      </c>
      <c r="I1234" s="1">
        <f>Tabela1[[#This Row],[Siblings and Spouses]]+Tabela1[[#This Row],[Parents and Children]]</f>
        <v>0</v>
      </c>
      <c r="J1234" s="3">
        <v>8.0500000000000007</v>
      </c>
      <c r="K123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4" s="2" t="s">
        <v>396</v>
      </c>
    </row>
    <row r="1235" spans="1:12" x14ac:dyDescent="0.25">
      <c r="A1235" s="1" t="s">
        <v>1351</v>
      </c>
      <c r="B1235" s="1" t="s">
        <v>1337</v>
      </c>
      <c r="C1235" s="1" t="s">
        <v>1232</v>
      </c>
      <c r="D1235" s="1" t="s">
        <v>1321</v>
      </c>
      <c r="E1235" s="1">
        <v>44</v>
      </c>
      <c r="F123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35" s="1">
        <v>0</v>
      </c>
      <c r="H1235" s="1">
        <v>0</v>
      </c>
      <c r="I1235" s="1">
        <f>Tabela1[[#This Row],[Siblings and Spouses]]+Tabela1[[#This Row],[Parents and Children]]</f>
        <v>0</v>
      </c>
      <c r="J1235" s="3">
        <v>7.9249999999999998</v>
      </c>
      <c r="K123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5" s="2" t="s">
        <v>396</v>
      </c>
    </row>
    <row r="1236" spans="1:12" x14ac:dyDescent="0.25">
      <c r="A1236" s="1" t="s">
        <v>1351</v>
      </c>
      <c r="B1236" s="1" t="s">
        <v>1348</v>
      </c>
      <c r="C1236" s="1" t="s">
        <v>1233</v>
      </c>
      <c r="D1236" s="1" t="s">
        <v>1321</v>
      </c>
      <c r="E1236" s="1">
        <v>25</v>
      </c>
      <c r="F123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36" s="1">
        <v>0</v>
      </c>
      <c r="H1236" s="1">
        <v>0</v>
      </c>
      <c r="I1236" s="1">
        <f>Tabela1[[#This Row],[Siblings and Spouses]]+Tabela1[[#This Row],[Parents and Children]]</f>
        <v>0</v>
      </c>
      <c r="J1236" s="3">
        <v>7.05</v>
      </c>
      <c r="K123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6" s="2" t="s">
        <v>396</v>
      </c>
    </row>
    <row r="1237" spans="1:12" x14ac:dyDescent="0.25">
      <c r="A1237" s="1" t="s">
        <v>1351</v>
      </c>
      <c r="B1237" s="1" t="s">
        <v>1348</v>
      </c>
      <c r="C1237" s="1" t="s">
        <v>1234</v>
      </c>
      <c r="D1237" s="1" t="s">
        <v>1321</v>
      </c>
      <c r="E1237" s="1">
        <v>74</v>
      </c>
      <c r="F123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70 or more</v>
      </c>
      <c r="G1237" s="1">
        <v>0</v>
      </c>
      <c r="H1237" s="1">
        <v>0</v>
      </c>
      <c r="I1237" s="1">
        <f>Tabela1[[#This Row],[Siblings and Spouses]]+Tabela1[[#This Row],[Parents and Children]]</f>
        <v>0</v>
      </c>
      <c r="J1237" s="3">
        <v>7.7750000000000004</v>
      </c>
      <c r="K123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7" s="2" t="s">
        <v>396</v>
      </c>
    </row>
    <row r="1238" spans="1:12" x14ac:dyDescent="0.25">
      <c r="A1238" s="1" t="s">
        <v>1351</v>
      </c>
      <c r="B1238" s="1" t="s">
        <v>1337</v>
      </c>
      <c r="C1238" s="1" t="s">
        <v>1235</v>
      </c>
      <c r="D1238" s="1" t="s">
        <v>1321</v>
      </c>
      <c r="E1238" s="1">
        <v>14</v>
      </c>
      <c r="F123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38" s="1">
        <v>0</v>
      </c>
      <c r="H1238" s="1">
        <v>0</v>
      </c>
      <c r="I1238" s="1">
        <f>Tabela1[[#This Row],[Siblings and Spouses]]+Tabela1[[#This Row],[Parents and Children]]</f>
        <v>0</v>
      </c>
      <c r="J1238" s="3">
        <v>9.2249999999999996</v>
      </c>
      <c r="K123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8" s="2" t="s">
        <v>396</v>
      </c>
    </row>
    <row r="1239" spans="1:12" x14ac:dyDescent="0.25">
      <c r="A1239" s="1" t="s">
        <v>1351</v>
      </c>
      <c r="B1239" s="1" t="s">
        <v>1348</v>
      </c>
      <c r="C1239" s="1" t="s">
        <v>1236</v>
      </c>
      <c r="D1239" s="1" t="s">
        <v>1321</v>
      </c>
      <c r="E1239" s="1">
        <v>24</v>
      </c>
      <c r="F123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39" s="1">
        <v>0</v>
      </c>
      <c r="H1239" s="1">
        <v>0</v>
      </c>
      <c r="I1239" s="1">
        <f>Tabela1[[#This Row],[Siblings and Spouses]]+Tabela1[[#This Row],[Parents and Children]]</f>
        <v>0</v>
      </c>
      <c r="J1239" s="3">
        <v>7.7957999999999998</v>
      </c>
      <c r="K123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39" s="2" t="s">
        <v>396</v>
      </c>
    </row>
    <row r="1240" spans="1:12" x14ac:dyDescent="0.25">
      <c r="A1240" s="1" t="s">
        <v>1351</v>
      </c>
      <c r="B1240" s="1" t="s">
        <v>1337</v>
      </c>
      <c r="C1240" s="1" t="s">
        <v>1237</v>
      </c>
      <c r="D1240" s="1" t="s">
        <v>1321</v>
      </c>
      <c r="E1240" s="1">
        <v>25</v>
      </c>
      <c r="F124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40" s="1">
        <v>0</v>
      </c>
      <c r="H1240" s="1">
        <v>0</v>
      </c>
      <c r="I1240" s="1">
        <f>Tabela1[[#This Row],[Siblings and Spouses]]+Tabela1[[#This Row],[Parents and Children]]</f>
        <v>0</v>
      </c>
      <c r="J1240" s="3">
        <v>7.7957999999999998</v>
      </c>
      <c r="K124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0" s="2" t="s">
        <v>396</v>
      </c>
    </row>
    <row r="1241" spans="1:12" x14ac:dyDescent="0.25">
      <c r="A1241" s="1" t="s">
        <v>1351</v>
      </c>
      <c r="B1241" s="1" t="s">
        <v>1348</v>
      </c>
      <c r="C1241" s="1" t="s">
        <v>1238</v>
      </c>
      <c r="D1241" s="1" t="s">
        <v>1321</v>
      </c>
      <c r="E1241" s="1">
        <v>34</v>
      </c>
      <c r="F124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41" s="1">
        <v>0</v>
      </c>
      <c r="H1241" s="1">
        <v>0</v>
      </c>
      <c r="I1241" s="1">
        <f>Tabela1[[#This Row],[Siblings and Spouses]]+Tabela1[[#This Row],[Parents and Children]]</f>
        <v>0</v>
      </c>
      <c r="J1241" s="3">
        <v>8.0500000000000007</v>
      </c>
      <c r="K124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1" s="2" t="s">
        <v>396</v>
      </c>
    </row>
    <row r="1242" spans="1:12" x14ac:dyDescent="0.25">
      <c r="A1242" s="1" t="s">
        <v>1351</v>
      </c>
      <c r="B1242" s="1" t="s">
        <v>1337</v>
      </c>
      <c r="C1242" s="1" t="s">
        <v>1239</v>
      </c>
      <c r="D1242" s="1" t="s">
        <v>1321</v>
      </c>
      <c r="E1242" s="1">
        <v>0.41670000000000001</v>
      </c>
      <c r="F124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42" s="1">
        <v>0</v>
      </c>
      <c r="H1242" s="1">
        <v>1</v>
      </c>
      <c r="I1242" s="1">
        <f>Tabela1[[#This Row],[Siblings and Spouses]]+Tabela1[[#This Row],[Parents and Children]]</f>
        <v>1</v>
      </c>
      <c r="J1242" s="3">
        <v>8.5167000000000002</v>
      </c>
      <c r="K124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2" s="2" t="s">
        <v>1318</v>
      </c>
    </row>
    <row r="1243" spans="1:12" x14ac:dyDescent="0.25">
      <c r="A1243" s="1" t="s">
        <v>1351</v>
      </c>
      <c r="B1243" s="1" t="s">
        <v>1348</v>
      </c>
      <c r="C1243" s="1" t="s">
        <v>1240</v>
      </c>
      <c r="D1243" s="1" t="s">
        <v>1321</v>
      </c>
      <c r="E1243" s="1" t="s">
        <v>1323</v>
      </c>
      <c r="F124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43" s="1">
        <v>1</v>
      </c>
      <c r="H1243" s="1">
        <v>0</v>
      </c>
      <c r="I1243" s="1">
        <f>Tabela1[[#This Row],[Siblings and Spouses]]+Tabela1[[#This Row],[Parents and Children]]</f>
        <v>1</v>
      </c>
      <c r="J1243" s="3">
        <v>6.4375</v>
      </c>
      <c r="K124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3" s="2" t="s">
        <v>1318</v>
      </c>
    </row>
    <row r="1244" spans="1:12" x14ac:dyDescent="0.25">
      <c r="A1244" s="1" t="s">
        <v>1351</v>
      </c>
      <c r="B1244" s="1" t="s">
        <v>1348</v>
      </c>
      <c r="C1244" s="1" t="s">
        <v>1241</v>
      </c>
      <c r="D1244" s="1" t="s">
        <v>1321</v>
      </c>
      <c r="E1244" s="1" t="s">
        <v>1323</v>
      </c>
      <c r="F124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44" s="1">
        <v>0</v>
      </c>
      <c r="H1244" s="1">
        <v>0</v>
      </c>
      <c r="I1244" s="1">
        <f>Tabela1[[#This Row],[Siblings and Spouses]]+Tabela1[[#This Row],[Parents and Children]]</f>
        <v>0</v>
      </c>
      <c r="J1244" s="3">
        <v>6.4375</v>
      </c>
      <c r="K124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4" s="2" t="s">
        <v>1318</v>
      </c>
    </row>
    <row r="1245" spans="1:12" x14ac:dyDescent="0.25">
      <c r="A1245" s="1" t="s">
        <v>1351</v>
      </c>
      <c r="B1245" s="1" t="s">
        <v>1348</v>
      </c>
      <c r="C1245" s="1" t="s">
        <v>1242</v>
      </c>
      <c r="D1245" s="1" t="s">
        <v>1321</v>
      </c>
      <c r="E1245" s="1" t="s">
        <v>1323</v>
      </c>
      <c r="F124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45" s="1">
        <v>0</v>
      </c>
      <c r="H1245" s="1">
        <v>0</v>
      </c>
      <c r="I1245" s="1">
        <f>Tabela1[[#This Row],[Siblings and Spouses]]+Tabela1[[#This Row],[Parents and Children]]</f>
        <v>0</v>
      </c>
      <c r="J1245" s="3">
        <v>7.2249999999999996</v>
      </c>
      <c r="K124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5" s="2" t="s">
        <v>1318</v>
      </c>
    </row>
    <row r="1246" spans="1:12" x14ac:dyDescent="0.25">
      <c r="A1246" s="1" t="s">
        <v>1351</v>
      </c>
      <c r="B1246" s="1" t="s">
        <v>1337</v>
      </c>
      <c r="C1246" s="1" t="s">
        <v>1243</v>
      </c>
      <c r="D1246" s="1" t="s">
        <v>1320</v>
      </c>
      <c r="E1246" s="1">
        <v>16</v>
      </c>
      <c r="F124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46" s="1">
        <v>1</v>
      </c>
      <c r="H1246" s="1">
        <v>1</v>
      </c>
      <c r="I1246" s="1">
        <f>Tabela1[[#This Row],[Siblings and Spouses]]+Tabela1[[#This Row],[Parents and Children]]</f>
        <v>2</v>
      </c>
      <c r="J1246" s="3">
        <v>8.5167000000000002</v>
      </c>
      <c r="K124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6" s="2" t="s">
        <v>1318</v>
      </c>
    </row>
    <row r="1247" spans="1:12" x14ac:dyDescent="0.25">
      <c r="A1247" s="1" t="s">
        <v>1351</v>
      </c>
      <c r="B1247" s="1" t="s">
        <v>1348</v>
      </c>
      <c r="C1247" s="1" t="s">
        <v>1244</v>
      </c>
      <c r="D1247" s="1" t="s">
        <v>1321</v>
      </c>
      <c r="E1247" s="1" t="s">
        <v>1323</v>
      </c>
      <c r="F124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47" s="1">
        <v>0</v>
      </c>
      <c r="H1247" s="1">
        <v>0</v>
      </c>
      <c r="I1247" s="1">
        <f>Tabela1[[#This Row],[Siblings and Spouses]]+Tabela1[[#This Row],[Parents and Children]]</f>
        <v>0</v>
      </c>
      <c r="J1247" s="3">
        <v>8.0500000000000007</v>
      </c>
      <c r="K124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47" s="2" t="s">
        <v>396</v>
      </c>
    </row>
    <row r="1248" spans="1:12" x14ac:dyDescent="0.25">
      <c r="A1248" s="1" t="s">
        <v>1351</v>
      </c>
      <c r="B1248" s="1" t="s">
        <v>1348</v>
      </c>
      <c r="C1248" s="1" t="s">
        <v>1245</v>
      </c>
      <c r="D1248" s="1" t="s">
        <v>1321</v>
      </c>
      <c r="E1248" s="1" t="s">
        <v>1323</v>
      </c>
      <c r="F124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48" s="1">
        <v>1</v>
      </c>
      <c r="H1248" s="1">
        <v>0</v>
      </c>
      <c r="I1248" s="1">
        <f>Tabela1[[#This Row],[Siblings and Spouses]]+Tabela1[[#This Row],[Parents and Children]]</f>
        <v>1</v>
      </c>
      <c r="J1248" s="3">
        <v>16.100000000000001</v>
      </c>
      <c r="K124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48" s="2" t="s">
        <v>396</v>
      </c>
    </row>
    <row r="1249" spans="1:12" x14ac:dyDescent="0.25">
      <c r="A1249" s="1" t="s">
        <v>1351</v>
      </c>
      <c r="B1249" s="1" t="s">
        <v>1337</v>
      </c>
      <c r="C1249" s="1" t="s">
        <v>1246</v>
      </c>
      <c r="D1249" s="1" t="s">
        <v>1320</v>
      </c>
      <c r="E1249" s="1" t="s">
        <v>1323</v>
      </c>
      <c r="F124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49" s="1">
        <v>1</v>
      </c>
      <c r="H1249" s="1">
        <v>0</v>
      </c>
      <c r="I1249" s="1">
        <f>Tabela1[[#This Row],[Siblings and Spouses]]+Tabela1[[#This Row],[Parents and Children]]</f>
        <v>1</v>
      </c>
      <c r="J1249" s="3">
        <v>16.100000000000001</v>
      </c>
      <c r="K124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49" s="2" t="s">
        <v>396</v>
      </c>
    </row>
    <row r="1250" spans="1:12" x14ac:dyDescent="0.25">
      <c r="A1250" s="1" t="s">
        <v>1351</v>
      </c>
      <c r="B1250" s="1" t="s">
        <v>1348</v>
      </c>
      <c r="C1250" s="1" t="s">
        <v>1247</v>
      </c>
      <c r="D1250" s="1" t="s">
        <v>1321</v>
      </c>
      <c r="E1250" s="1">
        <v>32</v>
      </c>
      <c r="F125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50" s="1">
        <v>0</v>
      </c>
      <c r="H1250" s="1">
        <v>0</v>
      </c>
      <c r="I1250" s="1">
        <f>Tabela1[[#This Row],[Siblings and Spouses]]+Tabela1[[#This Row],[Parents and Children]]</f>
        <v>0</v>
      </c>
      <c r="J1250" s="3">
        <v>7.9249999999999998</v>
      </c>
      <c r="K125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0" s="2" t="s">
        <v>396</v>
      </c>
    </row>
    <row r="1251" spans="1:12" x14ac:dyDescent="0.25">
      <c r="A1251" s="1" t="s">
        <v>1351</v>
      </c>
      <c r="B1251" s="1" t="s">
        <v>1348</v>
      </c>
      <c r="C1251" s="1" t="s">
        <v>1248</v>
      </c>
      <c r="D1251" s="1" t="s">
        <v>1321</v>
      </c>
      <c r="E1251" s="1" t="s">
        <v>1323</v>
      </c>
      <c r="F125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51" s="1">
        <v>0</v>
      </c>
      <c r="H1251" s="1">
        <v>0</v>
      </c>
      <c r="I1251" s="1">
        <f>Tabela1[[#This Row],[Siblings and Spouses]]+Tabela1[[#This Row],[Parents and Children]]</f>
        <v>0</v>
      </c>
      <c r="J1251" s="3">
        <v>7.75</v>
      </c>
      <c r="K125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1" s="2" t="s">
        <v>1319</v>
      </c>
    </row>
    <row r="1252" spans="1:12" x14ac:dyDescent="0.25">
      <c r="A1252" s="1" t="s">
        <v>1351</v>
      </c>
      <c r="B1252" s="1" t="s">
        <v>1348</v>
      </c>
      <c r="C1252" s="1" t="s">
        <v>1249</v>
      </c>
      <c r="D1252" s="1" t="s">
        <v>1321</v>
      </c>
      <c r="E1252" s="1" t="s">
        <v>1323</v>
      </c>
      <c r="F125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52" s="1">
        <v>0</v>
      </c>
      <c r="H1252" s="1">
        <v>0</v>
      </c>
      <c r="I1252" s="1">
        <f>Tabela1[[#This Row],[Siblings and Spouses]]+Tabela1[[#This Row],[Parents and Children]]</f>
        <v>0</v>
      </c>
      <c r="J1252" s="3">
        <v>7.8958000000000004</v>
      </c>
      <c r="K125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2" s="2" t="s">
        <v>396</v>
      </c>
    </row>
    <row r="1253" spans="1:12" x14ac:dyDescent="0.25">
      <c r="A1253" s="1" t="s">
        <v>1351</v>
      </c>
      <c r="B1253" s="1" t="s">
        <v>1348</v>
      </c>
      <c r="C1253" s="1" t="s">
        <v>1250</v>
      </c>
      <c r="D1253" s="1" t="s">
        <v>1321</v>
      </c>
      <c r="E1253" s="1">
        <v>30.5</v>
      </c>
      <c r="F125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53" s="1">
        <v>0</v>
      </c>
      <c r="H1253" s="1">
        <v>0</v>
      </c>
      <c r="I1253" s="1">
        <f>Tabela1[[#This Row],[Siblings and Spouses]]+Tabela1[[#This Row],[Parents and Children]]</f>
        <v>0</v>
      </c>
      <c r="J1253" s="3">
        <v>8.0500000000000007</v>
      </c>
      <c r="K125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3" s="2" t="s">
        <v>396</v>
      </c>
    </row>
    <row r="1254" spans="1:12" x14ac:dyDescent="0.25">
      <c r="A1254" s="1" t="s">
        <v>1351</v>
      </c>
      <c r="B1254" s="1" t="s">
        <v>1348</v>
      </c>
      <c r="C1254" s="1" t="s">
        <v>1251</v>
      </c>
      <c r="D1254" s="1" t="s">
        <v>1321</v>
      </c>
      <c r="E1254" s="1">
        <v>44</v>
      </c>
      <c r="F125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54" s="1">
        <v>0</v>
      </c>
      <c r="H1254" s="1">
        <v>0</v>
      </c>
      <c r="I1254" s="1">
        <f>Tabela1[[#This Row],[Siblings and Spouses]]+Tabela1[[#This Row],[Parents and Children]]</f>
        <v>0</v>
      </c>
      <c r="J1254" s="3">
        <v>8.0500000000000007</v>
      </c>
      <c r="K125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4" s="2" t="s">
        <v>396</v>
      </c>
    </row>
    <row r="1255" spans="1:12" x14ac:dyDescent="0.25">
      <c r="A1255" s="1" t="s">
        <v>1351</v>
      </c>
      <c r="B1255" s="1" t="s">
        <v>1348</v>
      </c>
      <c r="C1255" s="1" t="s">
        <v>1252</v>
      </c>
      <c r="D1255" s="1" t="s">
        <v>1321</v>
      </c>
      <c r="E1255" s="1" t="s">
        <v>1323</v>
      </c>
      <c r="F125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55" s="1">
        <v>0</v>
      </c>
      <c r="H1255" s="1">
        <v>0</v>
      </c>
      <c r="I1255" s="1">
        <f>Tabela1[[#This Row],[Siblings and Spouses]]+Tabela1[[#This Row],[Parents and Children]]</f>
        <v>0</v>
      </c>
      <c r="J1255" s="3">
        <v>7.2291999999999996</v>
      </c>
      <c r="K125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5" s="2" t="s">
        <v>1318</v>
      </c>
    </row>
    <row r="1256" spans="1:12" x14ac:dyDescent="0.25">
      <c r="A1256" s="1" t="s">
        <v>1351</v>
      </c>
      <c r="B1256" s="1" t="s">
        <v>1337</v>
      </c>
      <c r="C1256" s="1" t="s">
        <v>1253</v>
      </c>
      <c r="D1256" s="1" t="s">
        <v>1321</v>
      </c>
      <c r="E1256" s="1">
        <v>25</v>
      </c>
      <c r="F125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56" s="1">
        <v>0</v>
      </c>
      <c r="H1256" s="1">
        <v>0</v>
      </c>
      <c r="I1256" s="1">
        <f>Tabela1[[#This Row],[Siblings and Spouses]]+Tabela1[[#This Row],[Parents and Children]]</f>
        <v>0</v>
      </c>
      <c r="J1256" s="3">
        <v>0</v>
      </c>
      <c r="K125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6" s="2" t="s">
        <v>396</v>
      </c>
    </row>
    <row r="1257" spans="1:12" x14ac:dyDescent="0.25">
      <c r="A1257" s="1" t="s">
        <v>1351</v>
      </c>
      <c r="B1257" s="1" t="s">
        <v>1348</v>
      </c>
      <c r="C1257" s="1" t="s">
        <v>1254</v>
      </c>
      <c r="D1257" s="1" t="s">
        <v>1321</v>
      </c>
      <c r="E1257" s="1" t="s">
        <v>1323</v>
      </c>
      <c r="F125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57" s="1">
        <v>0</v>
      </c>
      <c r="H1257" s="1">
        <v>0</v>
      </c>
      <c r="I1257" s="1">
        <f>Tabela1[[#This Row],[Siblings and Spouses]]+Tabela1[[#This Row],[Parents and Children]]</f>
        <v>0</v>
      </c>
      <c r="J1257" s="3">
        <v>7.2291999999999996</v>
      </c>
      <c r="K125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57" s="2" t="s">
        <v>1318</v>
      </c>
    </row>
    <row r="1258" spans="1:12" x14ac:dyDescent="0.25">
      <c r="A1258" s="1" t="s">
        <v>1351</v>
      </c>
      <c r="B1258" s="1" t="s">
        <v>1337</v>
      </c>
      <c r="C1258" s="1" t="s">
        <v>1255</v>
      </c>
      <c r="D1258" s="1" t="s">
        <v>1321</v>
      </c>
      <c r="E1258" s="1">
        <v>7</v>
      </c>
      <c r="F125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58" s="1">
        <v>1</v>
      </c>
      <c r="H1258" s="1">
        <v>1</v>
      </c>
      <c r="I1258" s="1">
        <f>Tabela1[[#This Row],[Siblings and Spouses]]+Tabela1[[#This Row],[Parents and Children]]</f>
        <v>2</v>
      </c>
      <c r="J1258" s="3">
        <v>15.245799999999999</v>
      </c>
      <c r="K125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58" s="2" t="s">
        <v>1318</v>
      </c>
    </row>
    <row r="1259" spans="1:12" x14ac:dyDescent="0.25">
      <c r="A1259" s="1" t="s">
        <v>1351</v>
      </c>
      <c r="B1259" s="1" t="s">
        <v>1337</v>
      </c>
      <c r="C1259" s="1" t="s">
        <v>1256</v>
      </c>
      <c r="D1259" s="1" t="s">
        <v>1320</v>
      </c>
      <c r="E1259" s="1">
        <v>9</v>
      </c>
      <c r="F125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59" s="1">
        <v>1</v>
      </c>
      <c r="H1259" s="1">
        <v>1</v>
      </c>
      <c r="I1259" s="1">
        <f>Tabela1[[#This Row],[Siblings and Spouses]]+Tabela1[[#This Row],[Parents and Children]]</f>
        <v>2</v>
      </c>
      <c r="J1259" s="3">
        <v>15.245799999999999</v>
      </c>
      <c r="K125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59" s="2" t="s">
        <v>1318</v>
      </c>
    </row>
    <row r="1260" spans="1:12" x14ac:dyDescent="0.25">
      <c r="A1260" s="1" t="s">
        <v>1351</v>
      </c>
      <c r="B1260" s="1" t="s">
        <v>1337</v>
      </c>
      <c r="C1260" s="1" t="s">
        <v>1257</v>
      </c>
      <c r="D1260" s="1" t="s">
        <v>1320</v>
      </c>
      <c r="E1260" s="1">
        <v>29</v>
      </c>
      <c r="F126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60" s="1">
        <v>0</v>
      </c>
      <c r="H1260" s="1">
        <v>2</v>
      </c>
      <c r="I1260" s="1">
        <f>Tabela1[[#This Row],[Siblings and Spouses]]+Tabela1[[#This Row],[Parents and Children]]</f>
        <v>2</v>
      </c>
      <c r="J1260" s="3">
        <v>15.245799999999999</v>
      </c>
      <c r="K126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0" s="2" t="s">
        <v>1318</v>
      </c>
    </row>
    <row r="1261" spans="1:12" x14ac:dyDescent="0.25">
      <c r="A1261" s="1" t="s">
        <v>1351</v>
      </c>
      <c r="B1261" s="1" t="s">
        <v>1348</v>
      </c>
      <c r="C1261" s="1" t="s">
        <v>1258</v>
      </c>
      <c r="D1261" s="1" t="s">
        <v>1321</v>
      </c>
      <c r="E1261" s="1">
        <v>36</v>
      </c>
      <c r="F126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61" s="1">
        <v>0</v>
      </c>
      <c r="H1261" s="1">
        <v>0</v>
      </c>
      <c r="I1261" s="1">
        <f>Tabela1[[#This Row],[Siblings and Spouses]]+Tabela1[[#This Row],[Parents and Children]]</f>
        <v>0</v>
      </c>
      <c r="J1261" s="3">
        <v>7.8958000000000004</v>
      </c>
      <c r="K126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61" s="2" t="s">
        <v>396</v>
      </c>
    </row>
    <row r="1262" spans="1:12" x14ac:dyDescent="0.25">
      <c r="A1262" s="1" t="s">
        <v>1351</v>
      </c>
      <c r="B1262" s="1" t="s">
        <v>1337</v>
      </c>
      <c r="C1262" s="1" t="s">
        <v>1259</v>
      </c>
      <c r="D1262" s="1" t="s">
        <v>1320</v>
      </c>
      <c r="E1262" s="1">
        <v>18</v>
      </c>
      <c r="F126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62" s="1">
        <v>0</v>
      </c>
      <c r="H1262" s="1">
        <v>0</v>
      </c>
      <c r="I1262" s="1">
        <f>Tabela1[[#This Row],[Siblings and Spouses]]+Tabela1[[#This Row],[Parents and Children]]</f>
        <v>0</v>
      </c>
      <c r="J1262" s="3">
        <v>9.8416999999999994</v>
      </c>
      <c r="K126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62" s="2" t="s">
        <v>396</v>
      </c>
    </row>
    <row r="1263" spans="1:12" x14ac:dyDescent="0.25">
      <c r="A1263" s="1" t="s">
        <v>1351</v>
      </c>
      <c r="B1263" s="1" t="s">
        <v>1337</v>
      </c>
      <c r="C1263" s="1" t="s">
        <v>1260</v>
      </c>
      <c r="D1263" s="1" t="s">
        <v>1320</v>
      </c>
      <c r="E1263" s="1">
        <v>63</v>
      </c>
      <c r="F126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61-70</v>
      </c>
      <c r="G1263" s="1">
        <v>0</v>
      </c>
      <c r="H1263" s="1">
        <v>0</v>
      </c>
      <c r="I1263" s="1">
        <f>Tabela1[[#This Row],[Siblings and Spouses]]+Tabela1[[#This Row],[Parents and Children]]</f>
        <v>0</v>
      </c>
      <c r="J1263" s="3">
        <v>9.5875000000000004</v>
      </c>
      <c r="K126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63" s="2" t="s">
        <v>396</v>
      </c>
    </row>
    <row r="1264" spans="1:12" x14ac:dyDescent="0.25">
      <c r="A1264" s="1" t="s">
        <v>1351</v>
      </c>
      <c r="B1264" s="1" t="s">
        <v>1348</v>
      </c>
      <c r="C1264" s="1" t="s">
        <v>1261</v>
      </c>
      <c r="D1264" s="1" t="s">
        <v>1321</v>
      </c>
      <c r="E1264" s="1" t="s">
        <v>1323</v>
      </c>
      <c r="F126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64" s="1">
        <v>1</v>
      </c>
      <c r="H1264" s="1">
        <v>1</v>
      </c>
      <c r="I1264" s="1">
        <f>Tabela1[[#This Row],[Siblings and Spouses]]+Tabela1[[#This Row],[Parents and Children]]</f>
        <v>2</v>
      </c>
      <c r="J1264" s="3">
        <v>14.5</v>
      </c>
      <c r="K126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4" s="2" t="s">
        <v>396</v>
      </c>
    </row>
    <row r="1265" spans="1:12" x14ac:dyDescent="0.25">
      <c r="A1265" s="1" t="s">
        <v>1351</v>
      </c>
      <c r="B1265" s="1" t="s">
        <v>1348</v>
      </c>
      <c r="C1265" s="1" t="s">
        <v>1262</v>
      </c>
      <c r="D1265" s="1" t="s">
        <v>1321</v>
      </c>
      <c r="E1265" s="1">
        <v>11.5</v>
      </c>
      <c r="F126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65" s="1">
        <v>1</v>
      </c>
      <c r="H1265" s="1">
        <v>1</v>
      </c>
      <c r="I1265" s="1">
        <f>Tabela1[[#This Row],[Siblings and Spouses]]+Tabela1[[#This Row],[Parents and Children]]</f>
        <v>2</v>
      </c>
      <c r="J1265" s="3">
        <v>14.5</v>
      </c>
      <c r="K126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5" s="2" t="s">
        <v>396</v>
      </c>
    </row>
    <row r="1266" spans="1:12" x14ac:dyDescent="0.25">
      <c r="A1266" s="1" t="s">
        <v>1351</v>
      </c>
      <c r="B1266" s="1" t="s">
        <v>1348</v>
      </c>
      <c r="C1266" s="1" t="s">
        <v>1263</v>
      </c>
      <c r="D1266" s="1" t="s">
        <v>1321</v>
      </c>
      <c r="E1266" s="1">
        <v>40.5</v>
      </c>
      <c r="F126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66" s="1">
        <v>0</v>
      </c>
      <c r="H1266" s="1">
        <v>2</v>
      </c>
      <c r="I1266" s="1">
        <f>Tabela1[[#This Row],[Siblings and Spouses]]+Tabela1[[#This Row],[Parents and Children]]</f>
        <v>2</v>
      </c>
      <c r="J1266" s="3">
        <v>14.5</v>
      </c>
      <c r="K126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6" s="2" t="s">
        <v>396</v>
      </c>
    </row>
    <row r="1267" spans="1:12" x14ac:dyDescent="0.25">
      <c r="A1267" s="1" t="s">
        <v>1351</v>
      </c>
      <c r="B1267" s="1" t="s">
        <v>1348</v>
      </c>
      <c r="C1267" s="1" t="s">
        <v>1264</v>
      </c>
      <c r="D1267" s="1" t="s">
        <v>1320</v>
      </c>
      <c r="E1267" s="1">
        <v>10</v>
      </c>
      <c r="F126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67" s="1">
        <v>0</v>
      </c>
      <c r="H1267" s="1">
        <v>2</v>
      </c>
      <c r="I1267" s="1">
        <f>Tabela1[[#This Row],[Siblings and Spouses]]+Tabela1[[#This Row],[Parents and Children]]</f>
        <v>2</v>
      </c>
      <c r="J1267" s="3">
        <v>24.15</v>
      </c>
      <c r="K126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7" s="2" t="s">
        <v>396</v>
      </c>
    </row>
    <row r="1268" spans="1:12" x14ac:dyDescent="0.25">
      <c r="A1268" s="1" t="s">
        <v>1351</v>
      </c>
      <c r="B1268" s="1" t="s">
        <v>1348</v>
      </c>
      <c r="C1268" s="1" t="s">
        <v>1265</v>
      </c>
      <c r="D1268" s="1" t="s">
        <v>1321</v>
      </c>
      <c r="E1268" s="1">
        <v>36</v>
      </c>
      <c r="F126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68" s="1">
        <v>1</v>
      </c>
      <c r="H1268" s="1">
        <v>1</v>
      </c>
      <c r="I1268" s="1">
        <f>Tabela1[[#This Row],[Siblings and Spouses]]+Tabela1[[#This Row],[Parents and Children]]</f>
        <v>2</v>
      </c>
      <c r="J1268" s="3">
        <v>24.15</v>
      </c>
      <c r="K126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8" s="2" t="s">
        <v>396</v>
      </c>
    </row>
    <row r="1269" spans="1:12" x14ac:dyDescent="0.25">
      <c r="A1269" s="1" t="s">
        <v>1351</v>
      </c>
      <c r="B1269" s="1" t="s">
        <v>1348</v>
      </c>
      <c r="C1269" s="1" t="s">
        <v>1266</v>
      </c>
      <c r="D1269" s="1" t="s">
        <v>1320</v>
      </c>
      <c r="E1269" s="1">
        <v>30</v>
      </c>
      <c r="F126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69" s="1">
        <v>1</v>
      </c>
      <c r="H1269" s="1">
        <v>1</v>
      </c>
      <c r="I1269" s="1">
        <f>Tabela1[[#This Row],[Siblings and Spouses]]+Tabela1[[#This Row],[Parents and Children]]</f>
        <v>2</v>
      </c>
      <c r="J1269" s="3">
        <v>24.15</v>
      </c>
      <c r="K126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69" s="2" t="s">
        <v>396</v>
      </c>
    </row>
    <row r="1270" spans="1:12" x14ac:dyDescent="0.25">
      <c r="A1270" s="1" t="s">
        <v>1351</v>
      </c>
      <c r="B1270" s="1" t="s">
        <v>1348</v>
      </c>
      <c r="C1270" s="1" t="s">
        <v>1267</v>
      </c>
      <c r="D1270" s="1" t="s">
        <v>1321</v>
      </c>
      <c r="E1270" s="1" t="s">
        <v>1323</v>
      </c>
      <c r="F127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70" s="1">
        <v>0</v>
      </c>
      <c r="H1270" s="1">
        <v>0</v>
      </c>
      <c r="I1270" s="1">
        <f>Tabela1[[#This Row],[Siblings and Spouses]]+Tabela1[[#This Row],[Parents and Children]]</f>
        <v>0</v>
      </c>
      <c r="J1270" s="3">
        <v>9.5</v>
      </c>
      <c r="K127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0" s="2" t="s">
        <v>396</v>
      </c>
    </row>
    <row r="1271" spans="1:12" x14ac:dyDescent="0.25">
      <c r="A1271" s="1" t="s">
        <v>1351</v>
      </c>
      <c r="B1271" s="1" t="s">
        <v>1348</v>
      </c>
      <c r="C1271" s="1" t="s">
        <v>1268</v>
      </c>
      <c r="D1271" s="1" t="s">
        <v>1321</v>
      </c>
      <c r="E1271" s="1">
        <v>33</v>
      </c>
      <c r="F127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71" s="1">
        <v>0</v>
      </c>
      <c r="H1271" s="1">
        <v>0</v>
      </c>
      <c r="I1271" s="1">
        <f>Tabela1[[#This Row],[Siblings and Spouses]]+Tabela1[[#This Row],[Parents and Children]]</f>
        <v>0</v>
      </c>
      <c r="J1271" s="3">
        <v>9.5</v>
      </c>
      <c r="K127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1" s="2" t="s">
        <v>396</v>
      </c>
    </row>
    <row r="1272" spans="1:12" x14ac:dyDescent="0.25">
      <c r="A1272" s="1" t="s">
        <v>1351</v>
      </c>
      <c r="B1272" s="1" t="s">
        <v>1348</v>
      </c>
      <c r="C1272" s="1" t="s">
        <v>1269</v>
      </c>
      <c r="D1272" s="1" t="s">
        <v>1321</v>
      </c>
      <c r="E1272" s="1">
        <v>28</v>
      </c>
      <c r="F127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72" s="1">
        <v>0</v>
      </c>
      <c r="H1272" s="1">
        <v>0</v>
      </c>
      <c r="I1272" s="1">
        <f>Tabela1[[#This Row],[Siblings and Spouses]]+Tabela1[[#This Row],[Parents and Children]]</f>
        <v>0</v>
      </c>
      <c r="J1272" s="3">
        <v>9.5</v>
      </c>
      <c r="K127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2" s="2" t="s">
        <v>396</v>
      </c>
    </row>
    <row r="1273" spans="1:12" x14ac:dyDescent="0.25">
      <c r="A1273" s="1" t="s">
        <v>1351</v>
      </c>
      <c r="B1273" s="1" t="s">
        <v>1348</v>
      </c>
      <c r="C1273" s="1" t="s">
        <v>1270</v>
      </c>
      <c r="D1273" s="1" t="s">
        <v>1321</v>
      </c>
      <c r="E1273" s="1">
        <v>28</v>
      </c>
      <c r="F127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73" s="1">
        <v>0</v>
      </c>
      <c r="H1273" s="1">
        <v>0</v>
      </c>
      <c r="I1273" s="1">
        <f>Tabela1[[#This Row],[Siblings and Spouses]]+Tabela1[[#This Row],[Parents and Children]]</f>
        <v>0</v>
      </c>
      <c r="J1273" s="3">
        <v>9.5</v>
      </c>
      <c r="K127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3" s="2" t="s">
        <v>396</v>
      </c>
    </row>
    <row r="1274" spans="1:12" x14ac:dyDescent="0.25">
      <c r="A1274" s="1" t="s">
        <v>1351</v>
      </c>
      <c r="B1274" s="1" t="s">
        <v>1348</v>
      </c>
      <c r="C1274" s="1" t="s">
        <v>1271</v>
      </c>
      <c r="D1274" s="1" t="s">
        <v>1321</v>
      </c>
      <c r="E1274" s="1">
        <v>47</v>
      </c>
      <c r="F127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74" s="1">
        <v>0</v>
      </c>
      <c r="H1274" s="1">
        <v>0</v>
      </c>
      <c r="I1274" s="1">
        <f>Tabela1[[#This Row],[Siblings and Spouses]]+Tabela1[[#This Row],[Parents and Children]]</f>
        <v>0</v>
      </c>
      <c r="J1274" s="3">
        <v>9</v>
      </c>
      <c r="K127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4" s="2" t="s">
        <v>396</v>
      </c>
    </row>
    <row r="1275" spans="1:12" x14ac:dyDescent="0.25">
      <c r="A1275" s="1" t="s">
        <v>1351</v>
      </c>
      <c r="B1275" s="1" t="s">
        <v>1348</v>
      </c>
      <c r="C1275" s="1" t="s">
        <v>1272</v>
      </c>
      <c r="D1275" s="1" t="s">
        <v>1320</v>
      </c>
      <c r="E1275" s="1">
        <v>18</v>
      </c>
      <c r="F127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75" s="1">
        <v>2</v>
      </c>
      <c r="H1275" s="1">
        <v>0</v>
      </c>
      <c r="I1275" s="1">
        <f>Tabela1[[#This Row],[Siblings and Spouses]]+Tabela1[[#This Row],[Parents and Children]]</f>
        <v>2</v>
      </c>
      <c r="J1275" s="3">
        <v>18</v>
      </c>
      <c r="K127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75" s="2" t="s">
        <v>396</v>
      </c>
    </row>
    <row r="1276" spans="1:12" x14ac:dyDescent="0.25">
      <c r="A1276" s="1" t="s">
        <v>1351</v>
      </c>
      <c r="B1276" s="1" t="s">
        <v>1348</v>
      </c>
      <c r="C1276" s="1" t="s">
        <v>1273</v>
      </c>
      <c r="D1276" s="1" t="s">
        <v>1321</v>
      </c>
      <c r="E1276" s="1">
        <v>31</v>
      </c>
      <c r="F127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76" s="1">
        <v>3</v>
      </c>
      <c r="H1276" s="1">
        <v>0</v>
      </c>
      <c r="I1276" s="1">
        <f>Tabela1[[#This Row],[Siblings and Spouses]]+Tabela1[[#This Row],[Parents and Children]]</f>
        <v>3</v>
      </c>
      <c r="J1276" s="3">
        <v>18</v>
      </c>
      <c r="K127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76" s="2" t="s">
        <v>396</v>
      </c>
    </row>
    <row r="1277" spans="1:12" x14ac:dyDescent="0.25">
      <c r="A1277" s="1" t="s">
        <v>1351</v>
      </c>
      <c r="B1277" s="1" t="s">
        <v>1348</v>
      </c>
      <c r="C1277" s="1" t="s">
        <v>1274</v>
      </c>
      <c r="D1277" s="1" t="s">
        <v>1321</v>
      </c>
      <c r="E1277" s="1">
        <v>16</v>
      </c>
      <c r="F127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77" s="1">
        <v>2</v>
      </c>
      <c r="H1277" s="1">
        <v>0</v>
      </c>
      <c r="I1277" s="1">
        <f>Tabela1[[#This Row],[Siblings and Spouses]]+Tabela1[[#This Row],[Parents and Children]]</f>
        <v>2</v>
      </c>
      <c r="J1277" s="3">
        <v>18</v>
      </c>
      <c r="K127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77" s="2" t="s">
        <v>396</v>
      </c>
    </row>
    <row r="1278" spans="1:12" x14ac:dyDescent="0.25">
      <c r="A1278" s="1" t="s">
        <v>1351</v>
      </c>
      <c r="B1278" s="1" t="s">
        <v>1348</v>
      </c>
      <c r="C1278" s="1" t="s">
        <v>1275</v>
      </c>
      <c r="D1278" s="1" t="s">
        <v>1320</v>
      </c>
      <c r="E1278" s="1">
        <v>31</v>
      </c>
      <c r="F127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78" s="1">
        <v>1</v>
      </c>
      <c r="H1278" s="1">
        <v>0</v>
      </c>
      <c r="I1278" s="1">
        <f>Tabela1[[#This Row],[Siblings and Spouses]]+Tabela1[[#This Row],[Parents and Children]]</f>
        <v>1</v>
      </c>
      <c r="J1278" s="3">
        <v>18</v>
      </c>
      <c r="K127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78" s="2" t="s">
        <v>396</v>
      </c>
    </row>
    <row r="1279" spans="1:12" x14ac:dyDescent="0.25">
      <c r="A1279" s="1" t="s">
        <v>1351</v>
      </c>
      <c r="B1279" s="1" t="s">
        <v>1337</v>
      </c>
      <c r="C1279" s="1" t="s">
        <v>1276</v>
      </c>
      <c r="D1279" s="1" t="s">
        <v>1321</v>
      </c>
      <c r="E1279" s="1">
        <v>22</v>
      </c>
      <c r="F127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79" s="1">
        <v>0</v>
      </c>
      <c r="H1279" s="1">
        <v>0</v>
      </c>
      <c r="I1279" s="1">
        <f>Tabela1[[#This Row],[Siblings and Spouses]]+Tabela1[[#This Row],[Parents and Children]]</f>
        <v>0</v>
      </c>
      <c r="J1279" s="3">
        <v>7.2249999999999996</v>
      </c>
      <c r="K127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79" s="2" t="s">
        <v>1318</v>
      </c>
    </row>
    <row r="1280" spans="1:12" x14ac:dyDescent="0.25">
      <c r="A1280" s="1" t="s">
        <v>1351</v>
      </c>
      <c r="B1280" s="1" t="s">
        <v>1348</v>
      </c>
      <c r="C1280" s="1" t="s">
        <v>1277</v>
      </c>
      <c r="D1280" s="1" t="s">
        <v>1321</v>
      </c>
      <c r="E1280" s="1">
        <v>20</v>
      </c>
      <c r="F128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80" s="1">
        <v>0</v>
      </c>
      <c r="H1280" s="1">
        <v>0</v>
      </c>
      <c r="I1280" s="1">
        <f>Tabela1[[#This Row],[Siblings and Spouses]]+Tabela1[[#This Row],[Parents and Children]]</f>
        <v>0</v>
      </c>
      <c r="J1280" s="3">
        <v>7.8541999999999996</v>
      </c>
      <c r="K128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0" s="2" t="s">
        <v>396</v>
      </c>
    </row>
    <row r="1281" spans="1:12" x14ac:dyDescent="0.25">
      <c r="A1281" s="1" t="s">
        <v>1351</v>
      </c>
      <c r="B1281" s="1" t="s">
        <v>1348</v>
      </c>
      <c r="C1281" s="1" t="s">
        <v>1278</v>
      </c>
      <c r="D1281" s="1" t="s">
        <v>1320</v>
      </c>
      <c r="E1281" s="1">
        <v>14</v>
      </c>
      <c r="F128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81" s="1">
        <v>0</v>
      </c>
      <c r="H1281" s="1">
        <v>0</v>
      </c>
      <c r="I1281" s="1">
        <f>Tabela1[[#This Row],[Siblings and Spouses]]+Tabela1[[#This Row],[Parents and Children]]</f>
        <v>0</v>
      </c>
      <c r="J1281" s="3">
        <v>7.8541999999999996</v>
      </c>
      <c r="K128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1" s="2" t="s">
        <v>396</v>
      </c>
    </row>
    <row r="1282" spans="1:12" x14ac:dyDescent="0.25">
      <c r="A1282" s="1" t="s">
        <v>1351</v>
      </c>
      <c r="B1282" s="1" t="s">
        <v>1348</v>
      </c>
      <c r="C1282" s="1" t="s">
        <v>1279</v>
      </c>
      <c r="D1282" s="1" t="s">
        <v>1321</v>
      </c>
      <c r="E1282" s="1">
        <v>22</v>
      </c>
      <c r="F128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82" s="1">
        <v>0</v>
      </c>
      <c r="H1282" s="1">
        <v>0</v>
      </c>
      <c r="I1282" s="1">
        <f>Tabela1[[#This Row],[Siblings and Spouses]]+Tabela1[[#This Row],[Parents and Children]]</f>
        <v>0</v>
      </c>
      <c r="J1282" s="3">
        <v>7.8958000000000004</v>
      </c>
      <c r="K128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2" s="2" t="s">
        <v>396</v>
      </c>
    </row>
    <row r="1283" spans="1:12" x14ac:dyDescent="0.25">
      <c r="A1283" s="1" t="s">
        <v>1351</v>
      </c>
      <c r="B1283" s="1" t="s">
        <v>1348</v>
      </c>
      <c r="C1283" s="1" t="s">
        <v>1280</v>
      </c>
      <c r="D1283" s="1" t="s">
        <v>1321</v>
      </c>
      <c r="E1283" s="1">
        <v>22</v>
      </c>
      <c r="F128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83" s="1">
        <v>0</v>
      </c>
      <c r="H1283" s="1">
        <v>0</v>
      </c>
      <c r="I1283" s="1">
        <f>Tabela1[[#This Row],[Siblings and Spouses]]+Tabela1[[#This Row],[Parents and Children]]</f>
        <v>0</v>
      </c>
      <c r="J1283" s="3">
        <v>9</v>
      </c>
      <c r="K128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3" s="2" t="s">
        <v>396</v>
      </c>
    </row>
    <row r="1284" spans="1:12" x14ac:dyDescent="0.25">
      <c r="A1284" s="1" t="s">
        <v>1351</v>
      </c>
      <c r="B1284" s="1" t="s">
        <v>1348</v>
      </c>
      <c r="C1284" s="1" t="s">
        <v>1281</v>
      </c>
      <c r="D1284" s="1" t="s">
        <v>1321</v>
      </c>
      <c r="E1284" s="1" t="s">
        <v>1323</v>
      </c>
      <c r="F128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84" s="1">
        <v>0</v>
      </c>
      <c r="H1284" s="1">
        <v>0</v>
      </c>
      <c r="I1284" s="1">
        <f>Tabela1[[#This Row],[Siblings and Spouses]]+Tabela1[[#This Row],[Parents and Children]]</f>
        <v>0</v>
      </c>
      <c r="J1284" s="3">
        <v>8.0500000000000007</v>
      </c>
      <c r="K128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4" s="2" t="s">
        <v>396</v>
      </c>
    </row>
    <row r="1285" spans="1:12" x14ac:dyDescent="0.25">
      <c r="A1285" s="1" t="s">
        <v>1351</v>
      </c>
      <c r="B1285" s="1" t="s">
        <v>1348</v>
      </c>
      <c r="C1285" s="1" t="s">
        <v>1282</v>
      </c>
      <c r="D1285" s="1" t="s">
        <v>1321</v>
      </c>
      <c r="E1285" s="1" t="s">
        <v>1323</v>
      </c>
      <c r="F128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85" s="1">
        <v>0</v>
      </c>
      <c r="H1285" s="1">
        <v>0</v>
      </c>
      <c r="I1285" s="1">
        <f>Tabela1[[#This Row],[Siblings and Spouses]]+Tabela1[[#This Row],[Parents and Children]]</f>
        <v>0</v>
      </c>
      <c r="J1285" s="3">
        <v>7.55</v>
      </c>
      <c r="K128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5" s="2" t="s">
        <v>396</v>
      </c>
    </row>
    <row r="1286" spans="1:12" x14ac:dyDescent="0.25">
      <c r="A1286" s="1" t="s">
        <v>1351</v>
      </c>
      <c r="B1286" s="1" t="s">
        <v>1348</v>
      </c>
      <c r="C1286" s="1" t="s">
        <v>1283</v>
      </c>
      <c r="D1286" s="1" t="s">
        <v>1321</v>
      </c>
      <c r="E1286" s="1" t="s">
        <v>1323</v>
      </c>
      <c r="F128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86" s="1">
        <v>0</v>
      </c>
      <c r="H1286" s="1">
        <v>0</v>
      </c>
      <c r="I1286" s="1">
        <f>Tabela1[[#This Row],[Siblings and Spouses]]+Tabela1[[#This Row],[Parents and Children]]</f>
        <v>0</v>
      </c>
      <c r="J1286" s="3">
        <v>8.0500000000000007</v>
      </c>
      <c r="K128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6" s="2" t="s">
        <v>396</v>
      </c>
    </row>
    <row r="1287" spans="1:12" x14ac:dyDescent="0.25">
      <c r="A1287" s="1" t="s">
        <v>1351</v>
      </c>
      <c r="B1287" s="1" t="s">
        <v>1348</v>
      </c>
      <c r="C1287" s="1" t="s">
        <v>1284</v>
      </c>
      <c r="D1287" s="1" t="s">
        <v>1321</v>
      </c>
      <c r="E1287" s="1">
        <v>32.5</v>
      </c>
      <c r="F128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87" s="1">
        <v>0</v>
      </c>
      <c r="H1287" s="1">
        <v>0</v>
      </c>
      <c r="I1287" s="1">
        <f>Tabela1[[#This Row],[Siblings and Spouses]]+Tabela1[[#This Row],[Parents and Children]]</f>
        <v>0</v>
      </c>
      <c r="J1287" s="3">
        <v>9.5</v>
      </c>
      <c r="K128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7" s="2" t="s">
        <v>396</v>
      </c>
    </row>
    <row r="1288" spans="1:12" x14ac:dyDescent="0.25">
      <c r="A1288" s="1" t="s">
        <v>1351</v>
      </c>
      <c r="B1288" s="1" t="s">
        <v>1337</v>
      </c>
      <c r="C1288" s="1" t="s">
        <v>1285</v>
      </c>
      <c r="D1288" s="1" t="s">
        <v>1320</v>
      </c>
      <c r="E1288" s="1">
        <v>38</v>
      </c>
      <c r="F128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288" s="1">
        <v>0</v>
      </c>
      <c r="H1288" s="1">
        <v>0</v>
      </c>
      <c r="I1288" s="1">
        <f>Tabela1[[#This Row],[Siblings and Spouses]]+Tabela1[[#This Row],[Parents and Children]]</f>
        <v>0</v>
      </c>
      <c r="J1288" s="3">
        <v>7.2291999999999996</v>
      </c>
      <c r="K128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8" s="2" t="s">
        <v>1318</v>
      </c>
    </row>
    <row r="1289" spans="1:12" x14ac:dyDescent="0.25">
      <c r="A1289" s="1" t="s">
        <v>1351</v>
      </c>
      <c r="B1289" s="1" t="s">
        <v>1348</v>
      </c>
      <c r="C1289" s="1" t="s">
        <v>1286</v>
      </c>
      <c r="D1289" s="1" t="s">
        <v>1321</v>
      </c>
      <c r="E1289" s="1">
        <v>51</v>
      </c>
      <c r="F128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51-60</v>
      </c>
      <c r="G1289" s="1">
        <v>0</v>
      </c>
      <c r="H1289" s="1">
        <v>0</v>
      </c>
      <c r="I1289" s="1">
        <f>Tabela1[[#This Row],[Siblings and Spouses]]+Tabela1[[#This Row],[Parents and Children]]</f>
        <v>0</v>
      </c>
      <c r="J1289" s="3">
        <v>7.75</v>
      </c>
      <c r="K128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89" s="2" t="s">
        <v>396</v>
      </c>
    </row>
    <row r="1290" spans="1:12" x14ac:dyDescent="0.25">
      <c r="A1290" s="1" t="s">
        <v>1351</v>
      </c>
      <c r="B1290" s="1" t="s">
        <v>1348</v>
      </c>
      <c r="C1290" s="1" t="s">
        <v>1287</v>
      </c>
      <c r="D1290" s="1" t="s">
        <v>1321</v>
      </c>
      <c r="E1290" s="1">
        <v>18</v>
      </c>
      <c r="F129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290" s="1">
        <v>1</v>
      </c>
      <c r="H1290" s="1">
        <v>0</v>
      </c>
      <c r="I1290" s="1">
        <f>Tabela1[[#This Row],[Siblings and Spouses]]+Tabela1[[#This Row],[Parents and Children]]</f>
        <v>1</v>
      </c>
      <c r="J1290" s="3">
        <v>6.4958</v>
      </c>
      <c r="K129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0" s="2" t="s">
        <v>396</v>
      </c>
    </row>
    <row r="1291" spans="1:12" x14ac:dyDescent="0.25">
      <c r="A1291" s="1" t="s">
        <v>1351</v>
      </c>
      <c r="B1291" s="1" t="s">
        <v>1348</v>
      </c>
      <c r="C1291" s="1" t="s">
        <v>1288</v>
      </c>
      <c r="D1291" s="1" t="s">
        <v>1321</v>
      </c>
      <c r="E1291" s="1">
        <v>21</v>
      </c>
      <c r="F129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91" s="1">
        <v>1</v>
      </c>
      <c r="H1291" s="1">
        <v>0</v>
      </c>
      <c r="I1291" s="1">
        <f>Tabela1[[#This Row],[Siblings and Spouses]]+Tabela1[[#This Row],[Parents and Children]]</f>
        <v>1</v>
      </c>
      <c r="J1291" s="3">
        <v>6.4958</v>
      </c>
      <c r="K129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1" s="2" t="s">
        <v>396</v>
      </c>
    </row>
    <row r="1292" spans="1:12" x14ac:dyDescent="0.25">
      <c r="A1292" s="1" t="s">
        <v>1351</v>
      </c>
      <c r="B1292" s="1" t="s">
        <v>1337</v>
      </c>
      <c r="C1292" s="1" t="s">
        <v>1289</v>
      </c>
      <c r="D1292" s="1" t="s">
        <v>1320</v>
      </c>
      <c r="E1292" s="1">
        <v>47</v>
      </c>
      <c r="F129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292" s="1">
        <v>1</v>
      </c>
      <c r="H1292" s="1">
        <v>0</v>
      </c>
      <c r="I1292" s="1">
        <f>Tabela1[[#This Row],[Siblings and Spouses]]+Tabela1[[#This Row],[Parents and Children]]</f>
        <v>1</v>
      </c>
      <c r="J1292" s="3">
        <v>7</v>
      </c>
      <c r="K129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2" s="2" t="s">
        <v>396</v>
      </c>
    </row>
    <row r="1293" spans="1:12" x14ac:dyDescent="0.25">
      <c r="A1293" s="1" t="s">
        <v>1351</v>
      </c>
      <c r="B1293" s="1" t="s">
        <v>1348</v>
      </c>
      <c r="C1293" s="1" t="s">
        <v>1290</v>
      </c>
      <c r="D1293" s="1" t="s">
        <v>1321</v>
      </c>
      <c r="E1293" s="1" t="s">
        <v>1323</v>
      </c>
      <c r="F129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93" s="1">
        <v>0</v>
      </c>
      <c r="H1293" s="1">
        <v>0</v>
      </c>
      <c r="I1293" s="1">
        <f>Tabela1[[#This Row],[Siblings and Spouses]]+Tabela1[[#This Row],[Parents and Children]]</f>
        <v>0</v>
      </c>
      <c r="J1293" s="3">
        <v>8.7125000000000004</v>
      </c>
      <c r="K129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3" s="2" t="s">
        <v>396</v>
      </c>
    </row>
    <row r="1294" spans="1:12" x14ac:dyDescent="0.25">
      <c r="A1294" s="1" t="s">
        <v>1351</v>
      </c>
      <c r="B1294" s="1" t="s">
        <v>1348</v>
      </c>
      <c r="C1294" s="1" t="s">
        <v>1291</v>
      </c>
      <c r="D1294" s="1" t="s">
        <v>1321</v>
      </c>
      <c r="E1294" s="1" t="s">
        <v>1323</v>
      </c>
      <c r="F129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94" s="1">
        <v>0</v>
      </c>
      <c r="H1294" s="1">
        <v>0</v>
      </c>
      <c r="I1294" s="1">
        <f>Tabela1[[#This Row],[Siblings and Spouses]]+Tabela1[[#This Row],[Parents and Children]]</f>
        <v>0</v>
      </c>
      <c r="J1294" s="3">
        <v>7.55</v>
      </c>
      <c r="K129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4" s="2" t="s">
        <v>396</v>
      </c>
    </row>
    <row r="1295" spans="1:12" x14ac:dyDescent="0.25">
      <c r="A1295" s="1" t="s">
        <v>1351</v>
      </c>
      <c r="B1295" s="1" t="s">
        <v>1348</v>
      </c>
      <c r="C1295" s="1" t="s">
        <v>1292</v>
      </c>
      <c r="D1295" s="1" t="s">
        <v>1321</v>
      </c>
      <c r="E1295" s="1" t="s">
        <v>1323</v>
      </c>
      <c r="F129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95" s="1">
        <v>0</v>
      </c>
      <c r="H1295" s="1">
        <v>0</v>
      </c>
      <c r="I1295" s="1">
        <f>Tabela1[[#This Row],[Siblings and Spouses]]+Tabela1[[#This Row],[Parents and Children]]</f>
        <v>0</v>
      </c>
      <c r="J1295" s="3">
        <v>8.0500000000000007</v>
      </c>
      <c r="K129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5" s="2" t="s">
        <v>396</v>
      </c>
    </row>
    <row r="1296" spans="1:12" x14ac:dyDescent="0.25">
      <c r="A1296" s="1" t="s">
        <v>1351</v>
      </c>
      <c r="B1296" s="1" t="s">
        <v>1348</v>
      </c>
      <c r="C1296" s="1" t="s">
        <v>1293</v>
      </c>
      <c r="D1296" s="1" t="s">
        <v>1321</v>
      </c>
      <c r="E1296" s="1">
        <v>28.5</v>
      </c>
      <c r="F129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96" s="1">
        <v>0</v>
      </c>
      <c r="H1296" s="1">
        <v>0</v>
      </c>
      <c r="I1296" s="1">
        <f>Tabela1[[#This Row],[Siblings and Spouses]]+Tabela1[[#This Row],[Parents and Children]]</f>
        <v>0</v>
      </c>
      <c r="J1296" s="3">
        <v>16.100000000000001</v>
      </c>
      <c r="K129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296" s="2" t="s">
        <v>396</v>
      </c>
    </row>
    <row r="1297" spans="1:12" x14ac:dyDescent="0.25">
      <c r="A1297" s="1" t="s">
        <v>1351</v>
      </c>
      <c r="B1297" s="1" t="s">
        <v>1348</v>
      </c>
      <c r="C1297" s="1" t="s">
        <v>1294</v>
      </c>
      <c r="D1297" s="1" t="s">
        <v>1321</v>
      </c>
      <c r="E1297" s="1">
        <v>21</v>
      </c>
      <c r="F129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97" s="1">
        <v>0</v>
      </c>
      <c r="H1297" s="1">
        <v>0</v>
      </c>
      <c r="I1297" s="1">
        <f>Tabela1[[#This Row],[Siblings and Spouses]]+Tabela1[[#This Row],[Parents and Children]]</f>
        <v>0</v>
      </c>
      <c r="J1297" s="3">
        <v>7.25</v>
      </c>
      <c r="K129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7" s="2" t="s">
        <v>396</v>
      </c>
    </row>
    <row r="1298" spans="1:12" x14ac:dyDescent="0.25">
      <c r="A1298" s="1" t="s">
        <v>1351</v>
      </c>
      <c r="B1298" s="1" t="s">
        <v>1348</v>
      </c>
      <c r="C1298" s="1" t="s">
        <v>1295</v>
      </c>
      <c r="D1298" s="1" t="s">
        <v>1321</v>
      </c>
      <c r="E1298" s="1">
        <v>27</v>
      </c>
      <c r="F129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298" s="1">
        <v>0</v>
      </c>
      <c r="H1298" s="1">
        <v>0</v>
      </c>
      <c r="I1298" s="1">
        <f>Tabela1[[#This Row],[Siblings and Spouses]]+Tabela1[[#This Row],[Parents and Children]]</f>
        <v>0</v>
      </c>
      <c r="J1298" s="3">
        <v>8.6624999999999996</v>
      </c>
      <c r="K129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8" s="2" t="s">
        <v>396</v>
      </c>
    </row>
    <row r="1299" spans="1:12" x14ac:dyDescent="0.25">
      <c r="A1299" s="1" t="s">
        <v>1351</v>
      </c>
      <c r="B1299" s="1" t="s">
        <v>1348</v>
      </c>
      <c r="C1299" s="1" t="s">
        <v>1296</v>
      </c>
      <c r="D1299" s="1" t="s">
        <v>1321</v>
      </c>
      <c r="E1299" s="1" t="s">
        <v>1323</v>
      </c>
      <c r="F129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299" s="1">
        <v>0</v>
      </c>
      <c r="H1299" s="1">
        <v>0</v>
      </c>
      <c r="I1299" s="1">
        <f>Tabela1[[#This Row],[Siblings and Spouses]]+Tabela1[[#This Row],[Parents and Children]]</f>
        <v>0</v>
      </c>
      <c r="J1299" s="3">
        <v>7.25</v>
      </c>
      <c r="K129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299" s="2" t="s">
        <v>396</v>
      </c>
    </row>
    <row r="1300" spans="1:12" x14ac:dyDescent="0.25">
      <c r="A1300" s="1" t="s">
        <v>1351</v>
      </c>
      <c r="B1300" s="1" t="s">
        <v>1348</v>
      </c>
      <c r="C1300" s="1" t="s">
        <v>1297</v>
      </c>
      <c r="D1300" s="1" t="s">
        <v>1321</v>
      </c>
      <c r="E1300" s="1">
        <v>36</v>
      </c>
      <c r="F130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31-40</v>
      </c>
      <c r="G1300" s="1">
        <v>0</v>
      </c>
      <c r="H1300" s="1">
        <v>0</v>
      </c>
      <c r="I1300" s="1">
        <f>Tabela1[[#This Row],[Siblings and Spouses]]+Tabela1[[#This Row],[Parents and Children]]</f>
        <v>0</v>
      </c>
      <c r="J1300" s="3">
        <v>9.5</v>
      </c>
      <c r="K130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300" s="2" t="s">
        <v>396</v>
      </c>
    </row>
    <row r="1301" spans="1:12" x14ac:dyDescent="0.25">
      <c r="A1301" s="1" t="s">
        <v>1351</v>
      </c>
      <c r="B1301" s="1" t="s">
        <v>1348</v>
      </c>
      <c r="C1301" s="1" t="s">
        <v>1298</v>
      </c>
      <c r="D1301" s="1" t="s">
        <v>1321</v>
      </c>
      <c r="E1301" s="1">
        <v>27</v>
      </c>
      <c r="F1301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01" s="1">
        <v>1</v>
      </c>
      <c r="H1301" s="1">
        <v>0</v>
      </c>
      <c r="I1301" s="1">
        <f>Tabela1[[#This Row],[Siblings and Spouses]]+Tabela1[[#This Row],[Parents and Children]]</f>
        <v>1</v>
      </c>
      <c r="J1301" s="3">
        <v>14.4542</v>
      </c>
      <c r="K1301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301" s="2" t="s">
        <v>1318</v>
      </c>
    </row>
    <row r="1302" spans="1:12" x14ac:dyDescent="0.25">
      <c r="A1302" s="1" t="s">
        <v>1351</v>
      </c>
      <c r="B1302" s="1" t="s">
        <v>1337</v>
      </c>
      <c r="C1302" s="1" t="s">
        <v>1299</v>
      </c>
      <c r="D1302" s="1" t="s">
        <v>1320</v>
      </c>
      <c r="E1302" s="1">
        <v>15</v>
      </c>
      <c r="F1302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302" s="1">
        <v>1</v>
      </c>
      <c r="H1302" s="1">
        <v>0</v>
      </c>
      <c r="I1302" s="1">
        <f>Tabela1[[#This Row],[Siblings and Spouses]]+Tabela1[[#This Row],[Parents and Children]]</f>
        <v>1</v>
      </c>
      <c r="J1302" s="3">
        <v>14.4542</v>
      </c>
      <c r="K1302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302" s="2" t="s">
        <v>1318</v>
      </c>
    </row>
    <row r="1303" spans="1:12" x14ac:dyDescent="0.25">
      <c r="A1303" s="1" t="s">
        <v>1351</v>
      </c>
      <c r="B1303" s="1" t="s">
        <v>1348</v>
      </c>
      <c r="C1303" s="1" t="s">
        <v>1300</v>
      </c>
      <c r="D1303" s="1" t="s">
        <v>1321</v>
      </c>
      <c r="E1303" s="1">
        <v>45.5</v>
      </c>
      <c r="F1303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41-50</v>
      </c>
      <c r="G1303" s="1">
        <v>0</v>
      </c>
      <c r="H1303" s="1">
        <v>0</v>
      </c>
      <c r="I1303" s="1">
        <f>Tabela1[[#This Row],[Siblings and Spouses]]+Tabela1[[#This Row],[Parents and Children]]</f>
        <v>0</v>
      </c>
      <c r="J1303" s="3">
        <v>7.2249999999999996</v>
      </c>
      <c r="K1303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303" s="2" t="s">
        <v>1318</v>
      </c>
    </row>
    <row r="1304" spans="1:12" x14ac:dyDescent="0.25">
      <c r="A1304" s="1" t="s">
        <v>1351</v>
      </c>
      <c r="B1304" s="1" t="s">
        <v>1348</v>
      </c>
      <c r="C1304" s="1" t="s">
        <v>1301</v>
      </c>
      <c r="D1304" s="1" t="s">
        <v>1321</v>
      </c>
      <c r="E1304" s="1" t="s">
        <v>1323</v>
      </c>
      <c r="F1304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304" s="1">
        <v>0</v>
      </c>
      <c r="H1304" s="1">
        <v>0</v>
      </c>
      <c r="I1304" s="1">
        <f>Tabela1[[#This Row],[Siblings and Spouses]]+Tabela1[[#This Row],[Parents and Children]]</f>
        <v>0</v>
      </c>
      <c r="J1304" s="3">
        <v>7.2249999999999996</v>
      </c>
      <c r="K1304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304" s="2" t="s">
        <v>1318</v>
      </c>
    </row>
    <row r="1305" spans="1:12" x14ac:dyDescent="0.25">
      <c r="A1305" s="1" t="s">
        <v>1351</v>
      </c>
      <c r="B1305" s="1" t="s">
        <v>1348</v>
      </c>
      <c r="C1305" s="1" t="s">
        <v>1302</v>
      </c>
      <c r="D1305" s="1" t="s">
        <v>1321</v>
      </c>
      <c r="E1305" s="1" t="s">
        <v>1323</v>
      </c>
      <c r="F1305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305" s="1">
        <v>0</v>
      </c>
      <c r="H1305" s="1">
        <v>0</v>
      </c>
      <c r="I1305" s="1">
        <f>Tabela1[[#This Row],[Siblings and Spouses]]+Tabela1[[#This Row],[Parents and Children]]</f>
        <v>0</v>
      </c>
      <c r="J1305" s="3">
        <v>14.458299999999999</v>
      </c>
      <c r="K1305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305" s="2" t="s">
        <v>1318</v>
      </c>
    </row>
    <row r="1306" spans="1:12" x14ac:dyDescent="0.25">
      <c r="A1306" s="1" t="s">
        <v>1351</v>
      </c>
      <c r="B1306" s="1" t="s">
        <v>1348</v>
      </c>
      <c r="C1306" s="1" t="s">
        <v>1303</v>
      </c>
      <c r="D1306" s="1" t="s">
        <v>1320</v>
      </c>
      <c r="E1306" s="1">
        <v>14.5</v>
      </c>
      <c r="F1306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18 or less</v>
      </c>
      <c r="G1306" s="1">
        <v>1</v>
      </c>
      <c r="H1306" s="1">
        <v>0</v>
      </c>
      <c r="I1306" s="1">
        <f>Tabela1[[#This Row],[Siblings and Spouses]]+Tabela1[[#This Row],[Parents and Children]]</f>
        <v>1</v>
      </c>
      <c r="J1306" s="3">
        <v>14.4542</v>
      </c>
      <c r="K1306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306" s="2" t="s">
        <v>1318</v>
      </c>
    </row>
    <row r="1307" spans="1:12" x14ac:dyDescent="0.25">
      <c r="A1307" s="1" t="s">
        <v>1351</v>
      </c>
      <c r="B1307" s="1" t="s">
        <v>1348</v>
      </c>
      <c r="C1307" s="1" t="s">
        <v>1304</v>
      </c>
      <c r="D1307" s="1" t="s">
        <v>1320</v>
      </c>
      <c r="E1307" s="1" t="s">
        <v>1323</v>
      </c>
      <c r="F1307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Unknown</v>
      </c>
      <c r="G1307" s="1">
        <v>1</v>
      </c>
      <c r="H1307" s="1">
        <v>0</v>
      </c>
      <c r="I1307" s="1">
        <f>Tabela1[[#This Row],[Siblings and Spouses]]+Tabela1[[#This Row],[Parents and Children]]</f>
        <v>1</v>
      </c>
      <c r="J1307" s="3">
        <v>14.4542</v>
      </c>
      <c r="K1307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£10-£25</v>
      </c>
      <c r="L1307" s="2" t="s">
        <v>1318</v>
      </c>
    </row>
    <row r="1308" spans="1:12" x14ac:dyDescent="0.25">
      <c r="A1308" s="1" t="s">
        <v>1351</v>
      </c>
      <c r="B1308" s="1" t="s">
        <v>1348</v>
      </c>
      <c r="C1308" s="1" t="s">
        <v>1305</v>
      </c>
      <c r="D1308" s="1" t="s">
        <v>1321</v>
      </c>
      <c r="E1308" s="1">
        <v>26.5</v>
      </c>
      <c r="F1308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08" s="1">
        <v>0</v>
      </c>
      <c r="H1308" s="1">
        <v>0</v>
      </c>
      <c r="I1308" s="1">
        <f>Tabela1[[#This Row],[Siblings and Spouses]]+Tabela1[[#This Row],[Parents and Children]]</f>
        <v>0</v>
      </c>
      <c r="J1308" s="3">
        <v>7.2249999999999996</v>
      </c>
      <c r="K1308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308" s="2" t="s">
        <v>1318</v>
      </c>
    </row>
    <row r="1309" spans="1:12" x14ac:dyDescent="0.25">
      <c r="A1309" s="1" t="s">
        <v>1351</v>
      </c>
      <c r="B1309" s="1" t="s">
        <v>1348</v>
      </c>
      <c r="C1309" s="1" t="s">
        <v>1306</v>
      </c>
      <c r="D1309" s="1" t="s">
        <v>1321</v>
      </c>
      <c r="E1309" s="1">
        <v>27</v>
      </c>
      <c r="F1309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09" s="1">
        <v>0</v>
      </c>
      <c r="H1309" s="1">
        <v>0</v>
      </c>
      <c r="I1309" s="1">
        <f>Tabela1[[#This Row],[Siblings and Spouses]]+Tabela1[[#This Row],[Parents and Children]]</f>
        <v>0</v>
      </c>
      <c r="J1309" s="3">
        <v>7.2249999999999996</v>
      </c>
      <c r="K1309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309" s="2" t="s">
        <v>1318</v>
      </c>
    </row>
    <row r="1310" spans="1:12" x14ac:dyDescent="0.25">
      <c r="A1310" s="1" t="s">
        <v>1351</v>
      </c>
      <c r="B1310" s="1" t="s">
        <v>1348</v>
      </c>
      <c r="C1310" s="1" t="s">
        <v>1307</v>
      </c>
      <c r="D1310" s="1" t="s">
        <v>1321</v>
      </c>
      <c r="E1310" s="1">
        <v>29</v>
      </c>
      <c r="F1310" s="1" t="str">
        <f>IF(ISNUMBER(Tabela1[[#This Row],[Age]]),IF(Tabela1[[#This Row],[Age]]&lt;=18,"18 or less",IF(Tabela1[[#This Row],[Age]]&lt;31,"19-30",IF(Tabela1[[#This Row],[Age]]&lt;41,"31-40",IF(Tabela1[[#This Row],[Age]]&lt;51,"41-50",IF(Tabela1[[#This Row],[Age]]&lt;61,"51-60",IF(Tabela1[[#This Row],[Age]]&lt;70,"61-70","70 or more")))))),"Unknown")</f>
        <v>19-30</v>
      </c>
      <c r="G1310" s="1">
        <v>0</v>
      </c>
      <c r="H1310" s="1">
        <v>0</v>
      </c>
      <c r="I1310" s="1">
        <f>Tabela1[[#This Row],[Siblings and Spouses]]+Tabela1[[#This Row],[Parents and Children]]</f>
        <v>0</v>
      </c>
      <c r="J1310" s="3">
        <v>7.875</v>
      </c>
      <c r="K1310" s="3" t="str">
        <f>IF(Tabela1[[#This Row],[Fare]]&lt;10,"Less than £10",IF(Tabela1[[#This Row],[Fare]]&lt;26,"£10-£25",IF(Tabela1[[#This Row],[Fare]]&lt;51,"£26-£50",IF(Tabela1[[#This Row],[Fare]]&lt;101,"£51-£100",IF(Tabela1[[#This Row],[Fare]]&lt;151,"£101-£150",IF(Tabela1[[#This Row],[Fare]]&lt;201,"£151-£200","£200 or more"))))))</f>
        <v>Less than £10</v>
      </c>
      <c r="L1310" s="2" t="s">
        <v>396</v>
      </c>
    </row>
  </sheetData>
  <pageMargins left="0.7" right="0.7" top="0.75" bottom="0.75" header="0.3" footer="0.3"/>
  <pageSetup paperSize="9"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3:L160"/>
  <sheetViews>
    <sheetView topLeftCell="A103" workbookViewId="0">
      <selection activeCell="G12" sqref="G12"/>
    </sheetView>
  </sheetViews>
  <sheetFormatPr defaultRowHeight="15" x14ac:dyDescent="0.25"/>
  <cols>
    <col min="1" max="2" width="17.7109375" customWidth="1"/>
    <col min="3" max="3" width="12.42578125" customWidth="1"/>
    <col min="4" max="4" width="13.140625" customWidth="1"/>
    <col min="5" max="5" width="14.28515625" customWidth="1"/>
    <col min="6" max="8" width="3" customWidth="1"/>
    <col min="9" max="9" width="2" customWidth="1"/>
    <col min="10" max="10" width="3" customWidth="1"/>
    <col min="11" max="11" width="14.28515625" customWidth="1"/>
    <col min="12" max="12" width="36" customWidth="1"/>
    <col min="13" max="13" width="6" customWidth="1"/>
    <col min="14" max="14" width="2" customWidth="1"/>
    <col min="15" max="15" width="7" customWidth="1"/>
    <col min="16" max="16" width="5" customWidth="1"/>
    <col min="17" max="17" width="7" customWidth="1"/>
    <col min="18" max="18" width="6" customWidth="1"/>
    <col min="19" max="19" width="7" customWidth="1"/>
    <col min="20" max="20" width="6" customWidth="1"/>
    <col min="21" max="21" width="7" customWidth="1"/>
    <col min="22" max="22" width="5" customWidth="1"/>
    <col min="23" max="26" width="7" customWidth="1"/>
    <col min="27" max="27" width="5" customWidth="1"/>
    <col min="28" max="28" width="6" customWidth="1"/>
    <col min="29" max="30" width="7" customWidth="1"/>
    <col min="31" max="31" width="5" customWidth="1"/>
    <col min="32" max="32" width="7" customWidth="1"/>
    <col min="33" max="33" width="6" customWidth="1"/>
    <col min="34" max="37" width="7" customWidth="1"/>
    <col min="38" max="38" width="5" customWidth="1"/>
    <col min="39" max="39" width="6" customWidth="1"/>
    <col min="40" max="42" width="7" customWidth="1"/>
    <col min="43" max="43" width="4" customWidth="1"/>
    <col min="44" max="45" width="7" customWidth="1"/>
    <col min="46" max="46" width="5" customWidth="1"/>
    <col min="47" max="47" width="7" customWidth="1"/>
    <col min="48" max="48" width="6" customWidth="1"/>
    <col min="49" max="51" width="7" customWidth="1"/>
    <col min="52" max="52" width="6" customWidth="1"/>
    <col min="53" max="53" width="7" customWidth="1"/>
    <col min="54" max="54" width="5" customWidth="1"/>
    <col min="55" max="57" width="7" customWidth="1"/>
    <col min="58" max="58" width="4" customWidth="1"/>
    <col min="59" max="67" width="7" customWidth="1"/>
    <col min="68" max="68" width="5" customWidth="1"/>
    <col min="69" max="69" width="7" customWidth="1"/>
    <col min="70" max="70" width="2" customWidth="1"/>
    <col min="71" max="71" width="7" customWidth="1"/>
    <col min="72" max="73" width="6" customWidth="1"/>
    <col min="74" max="74" width="5" customWidth="1"/>
    <col min="75" max="75" width="6" customWidth="1"/>
    <col min="76" max="76" width="7" customWidth="1"/>
    <col min="77" max="77" width="4" customWidth="1"/>
    <col min="78" max="79" width="7" customWidth="1"/>
    <col min="80" max="80" width="6" customWidth="1"/>
    <col min="81" max="83" width="7" customWidth="1"/>
    <col min="84" max="85" width="8" customWidth="1"/>
    <col min="86" max="86" width="5" customWidth="1"/>
    <col min="87" max="90" width="8" customWidth="1"/>
    <col min="91" max="91" width="5" customWidth="1"/>
    <col min="92" max="92" width="3" customWidth="1"/>
    <col min="93" max="93" width="8" customWidth="1"/>
    <col min="94" max="94" width="7" customWidth="1"/>
    <col min="95" max="95" width="8" customWidth="1"/>
    <col min="96" max="96" width="6" customWidth="1"/>
    <col min="97" max="98" width="7" customWidth="1"/>
    <col min="99" max="99" width="6" customWidth="1"/>
    <col min="100" max="100" width="8" customWidth="1"/>
    <col min="101" max="101" width="7" customWidth="1"/>
    <col min="102" max="102" width="3" customWidth="1"/>
    <col min="103" max="103" width="8" customWidth="1"/>
    <col min="104" max="104" width="5" customWidth="1"/>
    <col min="105" max="105" width="7" customWidth="1"/>
    <col min="106" max="108" width="8" customWidth="1"/>
    <col min="109" max="109" width="5" customWidth="1"/>
    <col min="110" max="110" width="3" customWidth="1"/>
    <col min="111" max="111" width="8" customWidth="1"/>
    <col min="112" max="112" width="5" customWidth="1"/>
    <col min="113" max="114" width="8" customWidth="1"/>
    <col min="115" max="115" width="5" customWidth="1"/>
    <col min="116" max="116" width="3" customWidth="1"/>
    <col min="117" max="118" width="8" customWidth="1"/>
    <col min="119" max="119" width="6" customWidth="1"/>
    <col min="120" max="120" width="5" customWidth="1"/>
    <col min="121" max="121" width="8" customWidth="1"/>
    <col min="122" max="122" width="5" customWidth="1"/>
    <col min="123" max="123" width="6" customWidth="1"/>
    <col min="124" max="125" width="8" customWidth="1"/>
    <col min="126" max="127" width="6" customWidth="1"/>
    <col min="128" max="128" width="5" customWidth="1"/>
    <col min="129" max="129" width="3" customWidth="1"/>
    <col min="130" max="133" width="5" customWidth="1"/>
    <col min="134" max="134" width="3" customWidth="1"/>
    <col min="135" max="135" width="6" customWidth="1"/>
    <col min="136" max="137" width="8" customWidth="1"/>
    <col min="138" max="138" width="5" customWidth="1"/>
    <col min="139" max="140" width="8" customWidth="1"/>
    <col min="141" max="141" width="6" customWidth="1"/>
    <col min="142" max="143" width="7" customWidth="1"/>
    <col min="144" max="144" width="3" customWidth="1"/>
    <col min="145" max="145" width="7" customWidth="1"/>
    <col min="146" max="146" width="8" customWidth="1"/>
    <col min="147" max="147" width="7" customWidth="1"/>
    <col min="148" max="148" width="8" customWidth="1"/>
    <col min="149" max="149" width="7" customWidth="1"/>
    <col min="150" max="150" width="3" customWidth="1"/>
    <col min="151" max="152" width="6" customWidth="1"/>
    <col min="153" max="153" width="3" customWidth="1"/>
    <col min="154" max="154" width="6" customWidth="1"/>
    <col min="155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1" width="3" customWidth="1"/>
    <col min="162" max="162" width="6" customWidth="1"/>
    <col min="163" max="165" width="8" customWidth="1"/>
    <col min="166" max="166" width="6" customWidth="1"/>
    <col min="167" max="167" width="3" customWidth="1"/>
    <col min="168" max="169" width="8" customWidth="1"/>
    <col min="170" max="170" width="6" customWidth="1"/>
    <col min="171" max="172" width="5" customWidth="1"/>
    <col min="173" max="174" width="8" customWidth="1"/>
    <col min="175" max="175" width="3" customWidth="1"/>
    <col min="176" max="176" width="7" customWidth="1"/>
    <col min="177" max="177" width="5" customWidth="1"/>
    <col min="178" max="178" width="3" customWidth="1"/>
    <col min="179" max="179" width="8" customWidth="1"/>
    <col min="180" max="180" width="5" customWidth="1"/>
    <col min="181" max="181" width="8" customWidth="1"/>
    <col min="182" max="182" width="3" customWidth="1"/>
    <col min="183" max="183" width="7" customWidth="1"/>
    <col min="184" max="184" width="8" customWidth="1"/>
    <col min="185" max="185" width="5" customWidth="1"/>
    <col min="186" max="188" width="8" customWidth="1"/>
    <col min="189" max="189" width="5" customWidth="1"/>
    <col min="190" max="190" width="3" customWidth="1"/>
    <col min="191" max="191" width="5" customWidth="1"/>
    <col min="192" max="192" width="8" customWidth="1"/>
    <col min="193" max="193" width="7" customWidth="1"/>
    <col min="194" max="194" width="8" customWidth="1"/>
    <col min="195" max="195" width="3" customWidth="1"/>
    <col min="196" max="196" width="5" customWidth="1"/>
    <col min="197" max="197" width="6" customWidth="1"/>
    <col min="198" max="198" width="8" customWidth="1"/>
    <col min="199" max="199" width="5" customWidth="1"/>
    <col min="200" max="200" width="3" customWidth="1"/>
    <col min="201" max="202" width="5" customWidth="1"/>
    <col min="203" max="203" width="8" customWidth="1"/>
    <col min="204" max="204" width="7" customWidth="1"/>
    <col min="205" max="205" width="8" customWidth="1"/>
    <col min="206" max="211" width="5" customWidth="1"/>
    <col min="212" max="212" width="8" customWidth="1"/>
    <col min="213" max="213" width="3" customWidth="1"/>
    <col min="214" max="216" width="8" customWidth="1"/>
    <col min="217" max="217" width="3" customWidth="1"/>
    <col min="218" max="218" width="8" customWidth="1"/>
    <col min="219" max="219" width="5" customWidth="1"/>
    <col min="220" max="220" width="3" customWidth="1"/>
    <col min="221" max="221" width="8" customWidth="1"/>
    <col min="222" max="222" width="5" customWidth="1"/>
    <col min="223" max="224" width="8" customWidth="1"/>
    <col min="225" max="225" width="3" customWidth="1"/>
    <col min="226" max="226" width="6" customWidth="1"/>
    <col min="227" max="227" width="8" customWidth="1"/>
    <col min="228" max="228" width="5" customWidth="1"/>
    <col min="229" max="229" width="3" customWidth="1"/>
    <col min="230" max="230" width="7" customWidth="1"/>
    <col min="231" max="233" width="8" customWidth="1"/>
    <col min="234" max="234" width="3" customWidth="1"/>
    <col min="235" max="236" width="5" customWidth="1"/>
    <col min="237" max="237" width="6" customWidth="1"/>
    <col min="238" max="238" width="3" customWidth="1"/>
    <col min="239" max="239" width="8" customWidth="1"/>
    <col min="240" max="240" width="5" customWidth="1"/>
    <col min="241" max="241" width="8" customWidth="1"/>
    <col min="242" max="242" width="6" customWidth="1"/>
    <col min="243" max="247" width="8" customWidth="1"/>
    <col min="248" max="248" width="6" customWidth="1"/>
    <col min="249" max="249" width="5" customWidth="1"/>
    <col min="250" max="250" width="6" customWidth="1"/>
    <col min="251" max="251" width="3" customWidth="1"/>
    <col min="252" max="255" width="8" customWidth="1"/>
    <col min="256" max="256" width="7" customWidth="1"/>
    <col min="257" max="257" width="5" customWidth="1"/>
    <col min="258" max="258" width="8" customWidth="1"/>
    <col min="259" max="259" width="3" customWidth="1"/>
    <col min="260" max="260" width="8" customWidth="1"/>
    <col min="261" max="261" width="5" customWidth="1"/>
    <col min="262" max="262" width="8" customWidth="1"/>
    <col min="263" max="263" width="6" customWidth="1"/>
    <col min="264" max="264" width="9" customWidth="1"/>
    <col min="265" max="265" width="8" customWidth="1"/>
    <col min="266" max="266" width="4" customWidth="1"/>
    <col min="267" max="267" width="7" customWidth="1"/>
    <col min="268" max="268" width="6" customWidth="1"/>
    <col min="269" max="271" width="9" customWidth="1"/>
    <col min="272" max="272" width="7" customWidth="1"/>
    <col min="273" max="275" width="9" customWidth="1"/>
    <col min="276" max="276" width="6" customWidth="1"/>
    <col min="277" max="277" width="9" customWidth="1"/>
    <col min="278" max="278" width="8" customWidth="1"/>
    <col min="279" max="279" width="9" customWidth="1"/>
    <col min="280" max="280" width="8" customWidth="1"/>
    <col min="281" max="281" width="4" customWidth="1"/>
    <col min="282" max="282" width="9" customWidth="1"/>
    <col min="283" max="283" width="7.42578125" customWidth="1"/>
    <col min="284" max="284" width="14.28515625" bestFit="1" customWidth="1"/>
  </cols>
  <sheetData>
    <row r="3" spans="1:12" x14ac:dyDescent="0.25">
      <c r="A3" s="5" t="s">
        <v>1324</v>
      </c>
      <c r="B3" t="s">
        <v>1333</v>
      </c>
    </row>
    <row r="4" spans="1:12" x14ac:dyDescent="0.25">
      <c r="A4" s="6" t="s">
        <v>1326</v>
      </c>
      <c r="B4" s="7">
        <v>193</v>
      </c>
    </row>
    <row r="5" spans="1:12" ht="30" x14ac:dyDescent="0.25">
      <c r="A5" s="6" t="s">
        <v>1327</v>
      </c>
      <c r="B5" s="7">
        <v>418</v>
      </c>
      <c r="L5" s="12" t="s">
        <v>1352</v>
      </c>
    </row>
    <row r="6" spans="1:12" x14ac:dyDescent="0.25">
      <c r="A6" s="6" t="s">
        <v>1328</v>
      </c>
      <c r="B6" s="7">
        <v>211</v>
      </c>
    </row>
    <row r="7" spans="1:12" x14ac:dyDescent="0.25">
      <c r="A7" s="6" t="s">
        <v>1329</v>
      </c>
      <c r="B7" s="7">
        <v>129</v>
      </c>
    </row>
    <row r="8" spans="1:12" ht="30" x14ac:dyDescent="0.25">
      <c r="A8" s="6" t="s">
        <v>1330</v>
      </c>
      <c r="B8" s="7">
        <v>63</v>
      </c>
      <c r="L8" s="12" t="s">
        <v>1356</v>
      </c>
    </row>
    <row r="9" spans="1:12" x14ac:dyDescent="0.25">
      <c r="A9" s="6" t="s">
        <v>1331</v>
      </c>
      <c r="B9" s="7">
        <v>24</v>
      </c>
    </row>
    <row r="10" spans="1:12" x14ac:dyDescent="0.25">
      <c r="A10" s="6" t="s">
        <v>1332</v>
      </c>
      <c r="B10" s="7">
        <v>8</v>
      </c>
    </row>
    <row r="11" spans="1:12" x14ac:dyDescent="0.25">
      <c r="A11" s="6" t="s">
        <v>1325</v>
      </c>
      <c r="B11" s="7">
        <v>1046</v>
      </c>
    </row>
    <row r="22" spans="1:5" x14ac:dyDescent="0.25">
      <c r="A22" s="5" t="s">
        <v>1333</v>
      </c>
      <c r="B22" s="5" t="s">
        <v>1334</v>
      </c>
    </row>
    <row r="23" spans="1:5" x14ac:dyDescent="0.25">
      <c r="A23" s="5" t="s">
        <v>1324</v>
      </c>
      <c r="B23" t="s">
        <v>1318</v>
      </c>
      <c r="C23" t="s">
        <v>1319</v>
      </c>
      <c r="D23" t="s">
        <v>396</v>
      </c>
      <c r="E23" t="s">
        <v>1325</v>
      </c>
    </row>
    <row r="24" spans="1:5" x14ac:dyDescent="0.25">
      <c r="A24" s="6" t="s">
        <v>1326</v>
      </c>
      <c r="B24" s="7">
        <v>37</v>
      </c>
      <c r="C24" s="7">
        <v>11</v>
      </c>
      <c r="D24" s="7">
        <v>145</v>
      </c>
      <c r="E24" s="7">
        <v>193</v>
      </c>
    </row>
    <row r="25" spans="1:5" x14ac:dyDescent="0.25">
      <c r="A25" s="6" t="s">
        <v>1327</v>
      </c>
      <c r="B25" s="7">
        <v>73</v>
      </c>
      <c r="C25" s="7">
        <v>20</v>
      </c>
      <c r="D25" s="7">
        <v>325</v>
      </c>
      <c r="E25" s="7">
        <v>418</v>
      </c>
    </row>
    <row r="26" spans="1:5" x14ac:dyDescent="0.25">
      <c r="A26" s="6" t="s">
        <v>1328</v>
      </c>
      <c r="B26" s="7">
        <v>41</v>
      </c>
      <c r="C26" s="7">
        <v>13</v>
      </c>
      <c r="D26" s="7">
        <v>156</v>
      </c>
      <c r="E26" s="7">
        <v>210</v>
      </c>
    </row>
    <row r="27" spans="1:5" x14ac:dyDescent="0.25">
      <c r="A27" s="6" t="s">
        <v>1329</v>
      </c>
      <c r="B27" s="7">
        <v>34</v>
      </c>
      <c r="C27" s="7">
        <v>1</v>
      </c>
      <c r="D27" s="7">
        <v>94</v>
      </c>
      <c r="E27" s="7">
        <v>129</v>
      </c>
    </row>
    <row r="28" spans="1:5" x14ac:dyDescent="0.25">
      <c r="A28" s="6" t="s">
        <v>1330</v>
      </c>
      <c r="B28" s="7">
        <v>21</v>
      </c>
      <c r="C28" s="7">
        <v>1</v>
      </c>
      <c r="D28" s="7">
        <v>41</v>
      </c>
      <c r="E28" s="7">
        <v>63</v>
      </c>
    </row>
    <row r="29" spans="1:5" x14ac:dyDescent="0.25">
      <c r="A29" s="6" t="s">
        <v>1331</v>
      </c>
      <c r="B29" s="7">
        <v>4</v>
      </c>
      <c r="C29" s="7">
        <v>3</v>
      </c>
      <c r="D29" s="7">
        <v>16</v>
      </c>
      <c r="E29" s="7">
        <v>23</v>
      </c>
    </row>
    <row r="30" spans="1:5" x14ac:dyDescent="0.25">
      <c r="A30" s="6" t="s">
        <v>1332</v>
      </c>
      <c r="B30" s="7">
        <v>2</v>
      </c>
      <c r="C30" s="7">
        <v>1</v>
      </c>
      <c r="D30" s="7">
        <v>5</v>
      </c>
      <c r="E30" s="7">
        <v>8</v>
      </c>
    </row>
    <row r="31" spans="1:5" x14ac:dyDescent="0.25">
      <c r="A31" s="6" t="s">
        <v>1325</v>
      </c>
      <c r="B31" s="7">
        <v>212</v>
      </c>
      <c r="C31" s="7">
        <v>50</v>
      </c>
      <c r="D31" s="7">
        <v>782</v>
      </c>
      <c r="E31" s="7">
        <v>1044</v>
      </c>
    </row>
    <row r="38" spans="1:3" ht="45" x14ac:dyDescent="0.25">
      <c r="A38" s="12" t="str">
        <f>"Died"&amp;CHAR(10)&amp;GETPIVOTDATA("Liczba z Name",$A$44,"Survived?",A45)&amp;CHAR(10)&amp;TEXT(GETPIVOTDATA("Liczba z Survived?",$A$44,"Survived?",A45),"0,00%")</f>
        <v>Died
809
61,80%</v>
      </c>
    </row>
    <row r="39" spans="1:3" ht="45" x14ac:dyDescent="0.25">
      <c r="A39" s="12" t="str">
        <f>A46&amp;CHAR(10)&amp;GETPIVOTDATA("Liczba z Name",$A$44,"Survived?",A46)&amp;CHAR(10)&amp;TEXT(GETPIVOTDATA("Liczba z Survived?",$A$44,"Survived?",A46),"0,00%")</f>
        <v>Survived
500
38,20%</v>
      </c>
    </row>
    <row r="44" spans="1:3" x14ac:dyDescent="0.25">
      <c r="A44" s="5" t="s">
        <v>1324</v>
      </c>
      <c r="B44" t="s">
        <v>1333</v>
      </c>
      <c r="C44" t="s">
        <v>1338</v>
      </c>
    </row>
    <row r="45" spans="1:3" x14ac:dyDescent="0.25">
      <c r="A45" s="6" t="s">
        <v>1348</v>
      </c>
      <c r="B45" s="7">
        <v>809</v>
      </c>
      <c r="C45" s="8">
        <v>0.61802902979373564</v>
      </c>
    </row>
    <row r="46" spans="1:3" x14ac:dyDescent="0.25">
      <c r="A46" s="6" t="s">
        <v>1337</v>
      </c>
      <c r="B46" s="7">
        <v>500</v>
      </c>
      <c r="C46" s="8">
        <v>0.3819709702062643</v>
      </c>
    </row>
    <row r="47" spans="1:3" x14ac:dyDescent="0.25">
      <c r="A47" s="6" t="s">
        <v>1325</v>
      </c>
      <c r="B47" s="7">
        <v>1309</v>
      </c>
      <c r="C47" s="8">
        <v>1</v>
      </c>
    </row>
    <row r="50" spans="1:3" ht="45" x14ac:dyDescent="0.25">
      <c r="A50" s="12" t="str">
        <f>A57&amp;CHAR(10)&amp;GETPIVOTDATA("Liczba z Name",$A$56,"Passenger Class",A57)&amp;CHAR(10)&amp;TEXT(GETPIVOTDATA("Liczba z Passenger Class",$A$56,"Passenger Class",A57),"0,00%")</f>
        <v>3rd class
709
54,16%</v>
      </c>
    </row>
    <row r="51" spans="1:3" ht="45" x14ac:dyDescent="0.25">
      <c r="A51" s="12" t="str">
        <f>A58&amp;CHAR(10)&amp;GETPIVOTDATA("Liczba z Name",$A$56,"Passenger Class",A58)&amp;CHAR(10)&amp;TEXT(GETPIVOTDATA("Liczba z Passenger Class",$A$56,"Passenger Class",A58),"0,00%")</f>
        <v>2nd class
277
21,16%</v>
      </c>
    </row>
    <row r="52" spans="1:3" ht="45" x14ac:dyDescent="0.25">
      <c r="A52" s="12" t="str">
        <f>A59&amp;CHAR(10)&amp;GETPIVOTDATA("Liczba z Name",$A$56,"Passenger Class",A59)&amp;CHAR(10)&amp;TEXT(GETPIVOTDATA("Liczba z Passenger Class",$A$56,"Passenger Class",A59),"0,00%")</f>
        <v>1st class
323
24,68%</v>
      </c>
    </row>
    <row r="56" spans="1:3" x14ac:dyDescent="0.25">
      <c r="A56" s="5" t="s">
        <v>1324</v>
      </c>
      <c r="B56" t="s">
        <v>1333</v>
      </c>
      <c r="C56" t="s">
        <v>1347</v>
      </c>
    </row>
    <row r="57" spans="1:3" x14ac:dyDescent="0.25">
      <c r="A57" s="6" t="s">
        <v>1351</v>
      </c>
      <c r="B57" s="7">
        <v>709</v>
      </c>
      <c r="C57" s="8">
        <v>0.54163483575248283</v>
      </c>
    </row>
    <row r="58" spans="1:3" x14ac:dyDescent="0.25">
      <c r="A58" s="6" t="s">
        <v>1350</v>
      </c>
      <c r="B58" s="7">
        <v>277</v>
      </c>
      <c r="C58" s="8">
        <v>0.21161191749427044</v>
      </c>
    </row>
    <row r="59" spans="1:3" x14ac:dyDescent="0.25">
      <c r="A59" s="6" t="s">
        <v>1349</v>
      </c>
      <c r="B59" s="7">
        <v>323</v>
      </c>
      <c r="C59" s="8">
        <v>0.24675324675324675</v>
      </c>
    </row>
    <row r="60" spans="1:3" x14ac:dyDescent="0.25">
      <c r="A60" s="6" t="s">
        <v>1325</v>
      </c>
      <c r="B60" s="7">
        <v>1309</v>
      </c>
      <c r="C60" s="8">
        <v>1</v>
      </c>
    </row>
    <row r="61" spans="1:3" x14ac:dyDescent="0.25">
      <c r="A61" s="12"/>
      <c r="B61" s="7"/>
      <c r="C61" s="8"/>
    </row>
    <row r="62" spans="1:3" x14ac:dyDescent="0.25">
      <c r="A62" s="6"/>
      <c r="B62" s="7"/>
      <c r="C62" s="8"/>
    </row>
    <row r="63" spans="1:3" ht="45" x14ac:dyDescent="0.25">
      <c r="A63" s="13" t="str">
        <f>A68&amp;CHAR(10)&amp;GETPIVOTDATA("Liczba z Name",$A$67,"Sex",A68)&amp;CHAR(10)&amp;TEXT(GETPIVOTDATA("Liczba z Sex",$A$67,"Sex",A68),"0,00%")</f>
        <v>Male
843
64,40%</v>
      </c>
      <c r="B63" s="7"/>
      <c r="C63" s="8"/>
    </row>
    <row r="64" spans="1:3" ht="45" x14ac:dyDescent="0.25">
      <c r="A64" s="13" t="str">
        <f>A69&amp;CHAR(10)&amp;GETPIVOTDATA("Liczba z Name",$A$67,"Sex",A69)&amp;CHAR(10)&amp;TEXT(GETPIVOTDATA("Liczba z Sex",$A$67,"Sex",A69),"0,00%")</f>
        <v>Female
466
35,60%</v>
      </c>
    </row>
    <row r="67" spans="1:3" x14ac:dyDescent="0.25">
      <c r="A67" s="5" t="s">
        <v>1324</v>
      </c>
      <c r="B67" t="s">
        <v>1333</v>
      </c>
      <c r="C67" t="s">
        <v>1354</v>
      </c>
    </row>
    <row r="68" spans="1:3" x14ac:dyDescent="0.25">
      <c r="A68" s="6" t="s">
        <v>1321</v>
      </c>
      <c r="B68" s="7">
        <v>843</v>
      </c>
      <c r="C68" s="8">
        <v>0.64400305576776162</v>
      </c>
    </row>
    <row r="69" spans="1:3" x14ac:dyDescent="0.25">
      <c r="A69" s="6" t="s">
        <v>1320</v>
      </c>
      <c r="B69" s="7">
        <v>466</v>
      </c>
      <c r="C69" s="8">
        <v>0.35599694423223838</v>
      </c>
    </row>
    <row r="70" spans="1:3" x14ac:dyDescent="0.25">
      <c r="A70" s="6" t="s">
        <v>1325</v>
      </c>
      <c r="B70" s="7">
        <v>1309</v>
      </c>
      <c r="C70" s="8">
        <v>1</v>
      </c>
    </row>
    <row r="71" spans="1:3" x14ac:dyDescent="0.25">
      <c r="A71" s="6"/>
      <c r="B71" s="7"/>
      <c r="C71" s="8"/>
    </row>
    <row r="78" spans="1:3" x14ac:dyDescent="0.25">
      <c r="A78" s="5" t="s">
        <v>1324</v>
      </c>
      <c r="B78" t="s">
        <v>1333</v>
      </c>
    </row>
    <row r="79" spans="1:3" x14ac:dyDescent="0.25">
      <c r="A79" s="6" t="s">
        <v>1346</v>
      </c>
      <c r="B79" s="7">
        <v>492</v>
      </c>
    </row>
    <row r="80" spans="1:3" x14ac:dyDescent="0.25">
      <c r="A80" s="6" t="s">
        <v>1340</v>
      </c>
      <c r="B80" s="7">
        <v>341</v>
      </c>
    </row>
    <row r="81" spans="1:4" x14ac:dyDescent="0.25">
      <c r="A81" s="6" t="s">
        <v>1344</v>
      </c>
      <c r="B81" s="7">
        <v>238</v>
      </c>
    </row>
    <row r="82" spans="1:4" x14ac:dyDescent="0.25">
      <c r="A82" s="6" t="s">
        <v>1345</v>
      </c>
      <c r="B82" s="7">
        <v>154</v>
      </c>
    </row>
    <row r="83" spans="1:4" x14ac:dyDescent="0.25">
      <c r="A83" s="6" t="s">
        <v>1341</v>
      </c>
      <c r="B83" s="7">
        <v>33</v>
      </c>
    </row>
    <row r="84" spans="1:4" x14ac:dyDescent="0.25">
      <c r="A84" s="6" t="s">
        <v>1342</v>
      </c>
      <c r="B84" s="7">
        <v>13</v>
      </c>
    </row>
    <row r="85" spans="1:4" x14ac:dyDescent="0.25">
      <c r="A85" s="6" t="s">
        <v>1343</v>
      </c>
      <c r="B85" s="7">
        <v>38</v>
      </c>
    </row>
    <row r="86" spans="1:4" x14ac:dyDescent="0.25">
      <c r="A86" s="6" t="s">
        <v>1325</v>
      </c>
      <c r="B86" s="7">
        <v>1309</v>
      </c>
    </row>
    <row r="92" spans="1:4" x14ac:dyDescent="0.25">
      <c r="A92" s="5" t="s">
        <v>1333</v>
      </c>
      <c r="B92" s="5" t="s">
        <v>1334</v>
      </c>
    </row>
    <row r="93" spans="1:4" x14ac:dyDescent="0.25">
      <c r="A93" s="5" t="s">
        <v>1324</v>
      </c>
      <c r="B93" t="s">
        <v>1320</v>
      </c>
      <c r="C93" t="s">
        <v>1321</v>
      </c>
      <c r="D93" t="s">
        <v>1325</v>
      </c>
    </row>
    <row r="94" spans="1:4" x14ac:dyDescent="0.25">
      <c r="A94" s="6" t="s">
        <v>1326</v>
      </c>
      <c r="B94" s="7">
        <v>92</v>
      </c>
      <c r="C94" s="7">
        <v>101</v>
      </c>
      <c r="D94" s="7">
        <v>193</v>
      </c>
    </row>
    <row r="95" spans="1:4" x14ac:dyDescent="0.25">
      <c r="A95" s="6" t="s">
        <v>1327</v>
      </c>
      <c r="B95" s="7">
        <v>144</v>
      </c>
      <c r="C95" s="7">
        <v>274</v>
      </c>
      <c r="D95" s="7">
        <v>418</v>
      </c>
    </row>
    <row r="96" spans="1:4" x14ac:dyDescent="0.25">
      <c r="A96" s="6" t="s">
        <v>1328</v>
      </c>
      <c r="B96" s="7">
        <v>74</v>
      </c>
      <c r="C96" s="7">
        <v>137</v>
      </c>
      <c r="D96" s="7">
        <v>211</v>
      </c>
    </row>
    <row r="97" spans="1:4" x14ac:dyDescent="0.25">
      <c r="A97" s="6" t="s">
        <v>1329</v>
      </c>
      <c r="B97" s="7">
        <v>46</v>
      </c>
      <c r="C97" s="7">
        <v>83</v>
      </c>
      <c r="D97" s="7">
        <v>129</v>
      </c>
    </row>
    <row r="98" spans="1:4" x14ac:dyDescent="0.25">
      <c r="A98" s="6" t="s">
        <v>1330</v>
      </c>
      <c r="B98" s="7">
        <v>25</v>
      </c>
      <c r="C98" s="7">
        <v>38</v>
      </c>
      <c r="D98" s="7">
        <v>63</v>
      </c>
    </row>
    <row r="99" spans="1:4" x14ac:dyDescent="0.25">
      <c r="A99" s="6" t="s">
        <v>1331</v>
      </c>
      <c r="B99" s="7">
        <v>6</v>
      </c>
      <c r="C99" s="7">
        <v>18</v>
      </c>
      <c r="D99" s="7">
        <v>24</v>
      </c>
    </row>
    <row r="100" spans="1:4" x14ac:dyDescent="0.25">
      <c r="A100" s="6" t="s">
        <v>1332</v>
      </c>
      <c r="B100" s="7">
        <v>1</v>
      </c>
      <c r="C100" s="7">
        <v>7</v>
      </c>
      <c r="D100" s="7">
        <v>8</v>
      </c>
    </row>
    <row r="101" spans="1:4" x14ac:dyDescent="0.25">
      <c r="A101" s="6" t="s">
        <v>1325</v>
      </c>
      <c r="B101" s="7">
        <v>388</v>
      </c>
      <c r="C101" s="7">
        <v>658</v>
      </c>
      <c r="D101" s="7">
        <v>1046</v>
      </c>
    </row>
    <row r="106" spans="1:4" x14ac:dyDescent="0.25">
      <c r="A106" t="s">
        <v>1353</v>
      </c>
    </row>
    <row r="107" spans="1:4" x14ac:dyDescent="0.25">
      <c r="A107" s="4">
        <v>43550.4869000002</v>
      </c>
      <c r="D107" s="4"/>
    </row>
    <row r="112" spans="1:4" x14ac:dyDescent="0.25">
      <c r="A112" s="5" t="s">
        <v>1333</v>
      </c>
      <c r="B112" s="5" t="s">
        <v>1334</v>
      </c>
    </row>
    <row r="113" spans="1:11" x14ac:dyDescent="0.25">
      <c r="A113" s="5" t="s">
        <v>1324</v>
      </c>
      <c r="B113">
        <v>0</v>
      </c>
      <c r="C113">
        <v>1</v>
      </c>
      <c r="D113">
        <v>2</v>
      </c>
      <c r="E113">
        <v>3</v>
      </c>
      <c r="F113">
        <v>4</v>
      </c>
      <c r="G113">
        <v>5</v>
      </c>
      <c r="H113">
        <v>6</v>
      </c>
      <c r="I113">
        <v>7</v>
      </c>
      <c r="J113">
        <v>10</v>
      </c>
      <c r="K113" t="s">
        <v>1325</v>
      </c>
    </row>
    <row r="114" spans="1:11" x14ac:dyDescent="0.25">
      <c r="A114" s="6" t="s">
        <v>1326</v>
      </c>
      <c r="B114" s="7">
        <v>53</v>
      </c>
      <c r="C114" s="7">
        <v>31</v>
      </c>
      <c r="D114" s="7">
        <v>52</v>
      </c>
      <c r="E114" s="7">
        <v>16</v>
      </c>
      <c r="F114" s="7">
        <v>9</v>
      </c>
      <c r="G114" s="7">
        <v>14</v>
      </c>
      <c r="H114" s="7">
        <v>11</v>
      </c>
      <c r="I114" s="7">
        <v>6</v>
      </c>
      <c r="J114" s="7">
        <v>1</v>
      </c>
      <c r="K114" s="7">
        <v>193</v>
      </c>
    </row>
    <row r="115" spans="1:11" x14ac:dyDescent="0.25">
      <c r="A115" s="6" t="s">
        <v>1327</v>
      </c>
      <c r="B115" s="7">
        <v>288</v>
      </c>
      <c r="C115" s="7">
        <v>75</v>
      </c>
      <c r="D115" s="7">
        <v>33</v>
      </c>
      <c r="E115" s="7">
        <v>13</v>
      </c>
      <c r="F115" s="7">
        <v>4</v>
      </c>
      <c r="G115" s="7">
        <v>5</v>
      </c>
      <c r="H115" s="7"/>
      <c r="I115" s="7"/>
      <c r="J115" s="7"/>
      <c r="K115" s="7">
        <v>418</v>
      </c>
    </row>
    <row r="116" spans="1:11" x14ac:dyDescent="0.25">
      <c r="A116" s="6" t="s">
        <v>1328</v>
      </c>
      <c r="B116" s="7">
        <v>129</v>
      </c>
      <c r="C116" s="7">
        <v>38</v>
      </c>
      <c r="D116" s="7">
        <v>28</v>
      </c>
      <c r="E116" s="7">
        <v>8</v>
      </c>
      <c r="F116" s="7"/>
      <c r="G116" s="7">
        <v>2</v>
      </c>
      <c r="H116" s="7">
        <v>5</v>
      </c>
      <c r="I116" s="7">
        <v>1</v>
      </c>
      <c r="J116" s="7"/>
      <c r="K116" s="7">
        <v>211</v>
      </c>
    </row>
    <row r="117" spans="1:11" x14ac:dyDescent="0.25">
      <c r="A117" s="6" t="s">
        <v>1329</v>
      </c>
      <c r="B117" s="7">
        <v>67</v>
      </c>
      <c r="C117" s="7">
        <v>39</v>
      </c>
      <c r="D117" s="7">
        <v>16</v>
      </c>
      <c r="E117" s="7">
        <v>2</v>
      </c>
      <c r="F117" s="7">
        <v>2</v>
      </c>
      <c r="G117" s="7">
        <v>2</v>
      </c>
      <c r="H117" s="7"/>
      <c r="I117" s="7">
        <v>1</v>
      </c>
      <c r="J117" s="7"/>
      <c r="K117" s="7">
        <v>129</v>
      </c>
    </row>
    <row r="118" spans="1:11" x14ac:dyDescent="0.25">
      <c r="A118" s="6" t="s">
        <v>1330</v>
      </c>
      <c r="B118" s="7">
        <v>33</v>
      </c>
      <c r="C118" s="7">
        <v>16</v>
      </c>
      <c r="D118" s="7">
        <v>12</v>
      </c>
      <c r="E118" s="7"/>
      <c r="F118" s="7">
        <v>1</v>
      </c>
      <c r="G118" s="7">
        <v>1</v>
      </c>
      <c r="H118" s="7"/>
      <c r="I118" s="7"/>
      <c r="J118" s="7"/>
      <c r="K118" s="7">
        <v>63</v>
      </c>
    </row>
    <row r="119" spans="1:11" x14ac:dyDescent="0.25">
      <c r="A119" s="6" t="s">
        <v>1331</v>
      </c>
      <c r="B119" s="7">
        <v>14</v>
      </c>
      <c r="C119" s="7">
        <v>6</v>
      </c>
      <c r="D119" s="7">
        <v>2</v>
      </c>
      <c r="E119" s="7"/>
      <c r="F119" s="7">
        <v>1</v>
      </c>
      <c r="G119" s="7">
        <v>1</v>
      </c>
      <c r="H119" s="7"/>
      <c r="I119" s="7"/>
      <c r="J119" s="7"/>
      <c r="K119" s="7">
        <v>24</v>
      </c>
    </row>
    <row r="120" spans="1:11" x14ac:dyDescent="0.25">
      <c r="A120" s="6" t="s">
        <v>1332</v>
      </c>
      <c r="B120" s="7">
        <v>6</v>
      </c>
      <c r="C120" s="7">
        <v>1</v>
      </c>
      <c r="D120" s="7">
        <v>1</v>
      </c>
      <c r="E120" s="7"/>
      <c r="F120" s="7"/>
      <c r="G120" s="7"/>
      <c r="H120" s="7"/>
      <c r="I120" s="7"/>
      <c r="J120" s="7"/>
      <c r="K120" s="7">
        <v>8</v>
      </c>
    </row>
    <row r="121" spans="1:11" x14ac:dyDescent="0.25">
      <c r="A121" s="6" t="s">
        <v>1325</v>
      </c>
      <c r="B121" s="7">
        <v>590</v>
      </c>
      <c r="C121" s="7">
        <v>206</v>
      </c>
      <c r="D121" s="7">
        <v>144</v>
      </c>
      <c r="E121" s="7">
        <v>39</v>
      </c>
      <c r="F121" s="7">
        <v>17</v>
      </c>
      <c r="G121" s="7">
        <v>25</v>
      </c>
      <c r="H121" s="7">
        <v>16</v>
      </c>
      <c r="I121" s="7">
        <v>8</v>
      </c>
      <c r="J121" s="7">
        <v>1</v>
      </c>
      <c r="K121" s="7">
        <v>1046</v>
      </c>
    </row>
    <row r="127" spans="1:11" x14ac:dyDescent="0.25">
      <c r="A127" s="5" t="s">
        <v>1324</v>
      </c>
      <c r="B127" t="s">
        <v>1355</v>
      </c>
    </row>
    <row r="128" spans="1:11" x14ac:dyDescent="0.25">
      <c r="A128" s="6">
        <v>0</v>
      </c>
      <c r="B128" s="7">
        <v>790</v>
      </c>
    </row>
    <row r="129" spans="1:5" x14ac:dyDescent="0.25">
      <c r="A129" s="6">
        <v>1</v>
      </c>
      <c r="B129" s="7">
        <v>235</v>
      </c>
    </row>
    <row r="130" spans="1:5" x14ac:dyDescent="0.25">
      <c r="A130" s="6">
        <v>2</v>
      </c>
      <c r="B130" s="7">
        <v>159</v>
      </c>
      <c r="D130" t="s">
        <v>1357</v>
      </c>
    </row>
    <row r="131" spans="1:5" x14ac:dyDescent="0.25">
      <c r="A131" s="6">
        <v>3</v>
      </c>
      <c r="B131" s="7">
        <v>43</v>
      </c>
    </row>
    <row r="132" spans="1:5" x14ac:dyDescent="0.25">
      <c r="A132" s="6">
        <v>4</v>
      </c>
      <c r="B132" s="7">
        <v>22</v>
      </c>
    </row>
    <row r="133" spans="1:5" x14ac:dyDescent="0.25">
      <c r="A133" s="6">
        <v>5</v>
      </c>
      <c r="B133" s="7">
        <v>25</v>
      </c>
    </row>
    <row r="134" spans="1:5" x14ac:dyDescent="0.25">
      <c r="A134" s="6">
        <v>6</v>
      </c>
      <c r="B134" s="7">
        <v>16</v>
      </c>
    </row>
    <row r="135" spans="1:5" x14ac:dyDescent="0.25">
      <c r="A135" s="6">
        <v>7</v>
      </c>
      <c r="B135" s="7">
        <v>8</v>
      </c>
    </row>
    <row r="136" spans="1:5" x14ac:dyDescent="0.25">
      <c r="A136" s="6">
        <v>10</v>
      </c>
      <c r="B136" s="7">
        <v>11</v>
      </c>
    </row>
    <row r="137" spans="1:5" x14ac:dyDescent="0.25">
      <c r="A137" s="6" t="s">
        <v>1325</v>
      </c>
      <c r="B137" s="7">
        <v>1309</v>
      </c>
    </row>
    <row r="140" spans="1:5" x14ac:dyDescent="0.25">
      <c r="A140" s="5" t="s">
        <v>1333</v>
      </c>
      <c r="B140" s="5" t="s">
        <v>1334</v>
      </c>
    </row>
    <row r="141" spans="1:5" x14ac:dyDescent="0.25">
      <c r="A141" s="5" t="s">
        <v>1324</v>
      </c>
      <c r="B141" t="s">
        <v>1318</v>
      </c>
      <c r="C141" t="s">
        <v>1319</v>
      </c>
      <c r="D141" t="s">
        <v>396</v>
      </c>
      <c r="E141" t="s">
        <v>1325</v>
      </c>
    </row>
    <row r="142" spans="1:5" x14ac:dyDescent="0.25">
      <c r="A142" s="6" t="s">
        <v>1346</v>
      </c>
      <c r="B142" s="7">
        <v>59</v>
      </c>
      <c r="C142" s="7">
        <v>92</v>
      </c>
      <c r="D142" s="7">
        <v>341</v>
      </c>
      <c r="E142" s="7">
        <v>492</v>
      </c>
    </row>
    <row r="143" spans="1:5" x14ac:dyDescent="0.25">
      <c r="A143" s="6" t="s">
        <v>1340</v>
      </c>
      <c r="B143" s="7">
        <v>60</v>
      </c>
      <c r="C143" s="7">
        <v>22</v>
      </c>
      <c r="D143" s="7">
        <v>259</v>
      </c>
      <c r="E143" s="7">
        <v>341</v>
      </c>
    </row>
    <row r="144" spans="1:5" x14ac:dyDescent="0.25">
      <c r="A144" s="6" t="s">
        <v>1344</v>
      </c>
      <c r="B144" s="7">
        <v>48</v>
      </c>
      <c r="C144" s="7">
        <v>6</v>
      </c>
      <c r="D144" s="7">
        <v>184</v>
      </c>
      <c r="E144" s="7">
        <v>238</v>
      </c>
    </row>
    <row r="145" spans="1:5" x14ac:dyDescent="0.25">
      <c r="A145" s="6" t="s">
        <v>1345</v>
      </c>
      <c r="B145" s="7">
        <v>53</v>
      </c>
      <c r="C145" s="7">
        <v>3</v>
      </c>
      <c r="D145" s="7">
        <v>96</v>
      </c>
      <c r="E145" s="7">
        <v>152</v>
      </c>
    </row>
    <row r="146" spans="1:5" x14ac:dyDescent="0.25">
      <c r="A146" s="6" t="s">
        <v>1341</v>
      </c>
      <c r="B146" s="7">
        <v>26</v>
      </c>
      <c r="C146" s="7"/>
      <c r="D146" s="7">
        <v>7</v>
      </c>
      <c r="E146" s="7">
        <v>33</v>
      </c>
    </row>
    <row r="147" spans="1:5" x14ac:dyDescent="0.25">
      <c r="A147" s="6" t="s">
        <v>1342</v>
      </c>
      <c r="B147" s="7"/>
      <c r="C147" s="7"/>
      <c r="D147" s="7">
        <v>13</v>
      </c>
      <c r="E147" s="7">
        <v>13</v>
      </c>
    </row>
    <row r="148" spans="1:5" x14ac:dyDescent="0.25">
      <c r="A148" s="6" t="s">
        <v>1343</v>
      </c>
      <c r="B148" s="7">
        <v>24</v>
      </c>
      <c r="C148" s="7"/>
      <c r="D148" s="7">
        <v>14</v>
      </c>
      <c r="E148" s="7">
        <v>38</v>
      </c>
    </row>
    <row r="149" spans="1:5" x14ac:dyDescent="0.25">
      <c r="A149" s="6" t="s">
        <v>1325</v>
      </c>
      <c r="B149" s="7">
        <v>270</v>
      </c>
      <c r="C149" s="7">
        <v>123</v>
      </c>
      <c r="D149" s="7">
        <v>914</v>
      </c>
      <c r="E149" s="7">
        <v>1307</v>
      </c>
    </row>
    <row r="150" spans="1:5" x14ac:dyDescent="0.25">
      <c r="A150" s="6"/>
      <c r="B150" s="7"/>
      <c r="C150" s="7"/>
      <c r="D150" s="7"/>
      <c r="E150" s="7"/>
    </row>
    <row r="151" spans="1:5" ht="45" x14ac:dyDescent="0.25">
      <c r="A151" s="13" t="str">
        <f>A157&amp;CHAR(10)&amp;GETPIVOTDATA("Liczba z Name",$A$156,"Port of Embarkation",A157)&amp;CHAR(10)&amp;TEXT(GETPIVOTDATA("Liczba z Port of Embarkation",$A$156,"Port of Embarkation",A157),"0,00%")</f>
        <v>Southampton
914
69,93%</v>
      </c>
      <c r="B151" s="7"/>
      <c r="C151" s="7"/>
      <c r="D151" s="7"/>
      <c r="E151" s="7"/>
    </row>
    <row r="152" spans="1:5" ht="45" x14ac:dyDescent="0.25">
      <c r="A152" s="13" t="str">
        <f>A158&amp;CHAR(10)&amp;GETPIVOTDATA("Liczba z Name",$A$156,"Port of Embarkation",A158)&amp;CHAR(10)&amp;TEXT(GETPIVOTDATA("Liczba z Port of Embarkation",$A$156,"Port of Embarkation",A158),"0,00%")</f>
        <v>Cherbourg
270
20,66%</v>
      </c>
      <c r="B152" s="7"/>
      <c r="C152" s="7"/>
      <c r="D152" s="7"/>
      <c r="E152" s="7"/>
    </row>
    <row r="153" spans="1:5" ht="45" x14ac:dyDescent="0.25">
      <c r="A153" s="13" t="str">
        <f>A159&amp;CHAR(10)&amp;GETPIVOTDATA("Liczba z Name",$A$156,"Port of Embarkation",A159)&amp;CHAR(10)&amp;TEXT(GETPIVOTDATA("Liczba z Port of Embarkation",$A$156,"Port of Embarkation",A159),"0,00%")</f>
        <v>Queenstown
123
9,41%</v>
      </c>
    </row>
    <row r="156" spans="1:5" x14ac:dyDescent="0.25">
      <c r="A156" s="5" t="s">
        <v>1324</v>
      </c>
      <c r="B156" t="s">
        <v>1333</v>
      </c>
      <c r="C156" t="s">
        <v>1358</v>
      </c>
    </row>
    <row r="157" spans="1:5" x14ac:dyDescent="0.25">
      <c r="A157" s="6" t="s">
        <v>396</v>
      </c>
      <c r="B157" s="7">
        <v>914</v>
      </c>
      <c r="C157" s="8">
        <v>0.69931140015302218</v>
      </c>
    </row>
    <row r="158" spans="1:5" x14ac:dyDescent="0.25">
      <c r="A158" s="6" t="s">
        <v>1318</v>
      </c>
      <c r="B158" s="7">
        <v>270</v>
      </c>
      <c r="C158" s="8">
        <v>0.20657995409334354</v>
      </c>
    </row>
    <row r="159" spans="1:5" x14ac:dyDescent="0.25">
      <c r="A159" s="6" t="s">
        <v>1319</v>
      </c>
      <c r="B159" s="7">
        <v>123</v>
      </c>
      <c r="C159" s="8">
        <v>9.4108645753634271E-2</v>
      </c>
    </row>
    <row r="160" spans="1:5" x14ac:dyDescent="0.25">
      <c r="A160" s="6" t="s">
        <v>1325</v>
      </c>
      <c r="B160" s="7">
        <v>1307</v>
      </c>
      <c r="C160" s="8">
        <v>1</v>
      </c>
    </row>
  </sheetData>
  <pageMargins left="0.7" right="0.7" top="0.75" bottom="0.75" header="0.3" footer="0.3"/>
  <pageSetup paperSize="9" orientation="portrait" horizontalDpi="4294967295" verticalDpi="4294967295"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F70"/>
  <sheetViews>
    <sheetView showGridLines="0" showRowColHeaders="0" tabSelected="1" zoomScaleNormal="100" workbookViewId="0">
      <selection activeCell="I12" sqref="I12"/>
    </sheetView>
  </sheetViews>
  <sheetFormatPr defaultColWidth="0" defaultRowHeight="15" zeroHeight="1" x14ac:dyDescent="0.25"/>
  <cols>
    <col min="1" max="3" width="9.140625" customWidth="1"/>
    <col min="4" max="4" width="2.7109375" customWidth="1"/>
    <col min="5" max="5" width="0.5703125" customWidth="1"/>
    <col min="6" max="7" width="9.140625" customWidth="1"/>
    <col min="8" max="8" width="10" bestFit="1" customWidth="1"/>
    <col min="9" max="26" width="9.140625" customWidth="1"/>
    <col min="27" max="32" width="0" hidden="1" customWidth="1"/>
    <col min="33" max="16384" width="9.140625" hidden="1"/>
  </cols>
  <sheetData>
    <row r="1" spans="1:32" ht="49.5" customHeight="1" x14ac:dyDescent="0.7">
      <c r="A1" s="23" t="s">
        <v>1336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5"/>
      <c r="Z1" s="25"/>
      <c r="AA1" s="18"/>
      <c r="AB1" s="15"/>
      <c r="AC1" s="15"/>
      <c r="AD1" s="15"/>
      <c r="AE1" s="15"/>
      <c r="AF1" s="19"/>
    </row>
    <row r="2" spans="1:32" x14ac:dyDescent="0.25">
      <c r="A2" s="30" t="s">
        <v>1359</v>
      </c>
      <c r="B2" s="30"/>
      <c r="C2" s="30"/>
      <c r="D2" s="30"/>
      <c r="E2" s="30"/>
      <c r="F2" s="30"/>
      <c r="G2" s="30"/>
      <c r="H2" s="30"/>
      <c r="I2" s="30"/>
      <c r="J2" s="26"/>
      <c r="K2" s="27"/>
      <c r="L2" s="27"/>
      <c r="M2" s="27"/>
      <c r="N2" s="27"/>
      <c r="O2" s="27"/>
      <c r="P2" s="27"/>
      <c r="Q2" s="27"/>
      <c r="R2" s="28"/>
      <c r="S2" s="28"/>
      <c r="T2" s="28"/>
      <c r="U2" s="28"/>
      <c r="V2" s="28"/>
      <c r="W2" s="28"/>
      <c r="X2" s="28"/>
      <c r="Y2" s="29"/>
      <c r="Z2" s="29"/>
      <c r="AA2" s="18"/>
      <c r="AB2" s="15"/>
      <c r="AC2" s="15"/>
      <c r="AD2" s="15"/>
      <c r="AE2" s="15"/>
      <c r="AF2" s="19"/>
    </row>
    <row r="3" spans="1:32" ht="3" customHeight="1" x14ac:dyDescent="0.25">
      <c r="E3" s="14"/>
      <c r="Y3" s="16"/>
      <c r="Z3" s="17"/>
      <c r="AA3" s="18"/>
      <c r="AB3" s="15"/>
      <c r="AC3" s="15"/>
      <c r="AD3" s="15"/>
      <c r="AE3" s="15"/>
      <c r="AF3" s="19"/>
    </row>
    <row r="4" spans="1:32" x14ac:dyDescent="0.25">
      <c r="A4" s="20"/>
      <c r="B4" s="20"/>
      <c r="C4" s="20"/>
      <c r="D4" s="20"/>
      <c r="E4" s="18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7"/>
      <c r="Z4" s="17"/>
      <c r="AA4" s="18"/>
      <c r="AB4" s="15"/>
      <c r="AC4" s="15"/>
      <c r="AD4" s="15"/>
      <c r="AE4" s="15"/>
      <c r="AF4" s="19"/>
    </row>
    <row r="5" spans="1:32" x14ac:dyDescent="0.25">
      <c r="A5" s="20"/>
      <c r="B5" s="20"/>
      <c r="C5" s="20"/>
      <c r="D5" s="20"/>
      <c r="E5" s="18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7"/>
      <c r="Z5" s="17"/>
      <c r="AA5" s="18"/>
      <c r="AB5" s="15"/>
      <c r="AC5" s="15"/>
      <c r="AD5" s="15"/>
      <c r="AE5" s="15"/>
      <c r="AF5" s="19"/>
    </row>
    <row r="6" spans="1:32" ht="9.75" customHeight="1" x14ac:dyDescent="0.25">
      <c r="A6" s="15"/>
      <c r="B6" s="15"/>
      <c r="C6" s="15"/>
      <c r="D6" s="15"/>
      <c r="E6" s="18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7"/>
      <c r="Z6" s="17"/>
      <c r="AA6" s="18"/>
      <c r="AB6" s="15"/>
      <c r="AC6" s="15"/>
      <c r="AD6" s="15"/>
      <c r="AE6" s="15"/>
      <c r="AF6" s="19"/>
    </row>
    <row r="7" spans="1:32" x14ac:dyDescent="0.25">
      <c r="A7" s="15"/>
      <c r="B7" s="15"/>
      <c r="C7" s="15"/>
      <c r="D7" s="15"/>
      <c r="E7" s="18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7"/>
      <c r="Z7" s="17"/>
      <c r="AA7" s="18"/>
      <c r="AB7" s="15"/>
      <c r="AC7" s="15"/>
      <c r="AD7" s="15"/>
      <c r="AE7" s="15"/>
      <c r="AF7" s="19"/>
    </row>
    <row r="8" spans="1:32" x14ac:dyDescent="0.25">
      <c r="A8" s="15"/>
      <c r="B8" s="15"/>
      <c r="C8" s="15"/>
      <c r="D8" s="15"/>
      <c r="E8" s="18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7"/>
      <c r="Z8" s="17"/>
      <c r="AA8" s="18"/>
      <c r="AB8" s="15"/>
      <c r="AC8" s="15"/>
      <c r="AD8" s="15"/>
      <c r="AE8" s="15"/>
      <c r="AF8" s="19"/>
    </row>
    <row r="9" spans="1:32" x14ac:dyDescent="0.25">
      <c r="A9" s="15"/>
      <c r="B9" s="15"/>
      <c r="C9" s="15"/>
      <c r="D9" s="15"/>
      <c r="E9" s="18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7"/>
      <c r="Z9" s="17"/>
      <c r="AA9" s="18"/>
      <c r="AB9" s="15"/>
      <c r="AC9" s="15"/>
      <c r="AD9" s="15"/>
      <c r="AE9" s="15"/>
      <c r="AF9" s="19"/>
    </row>
    <row r="10" spans="1:32" x14ac:dyDescent="0.25">
      <c r="A10" s="15"/>
      <c r="B10" s="15"/>
      <c r="C10" s="15"/>
      <c r="D10" s="15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7"/>
      <c r="Z10" s="17"/>
      <c r="AA10" s="18"/>
      <c r="AB10" s="15"/>
      <c r="AC10" s="15"/>
      <c r="AD10" s="15"/>
      <c r="AE10" s="15"/>
      <c r="AF10" s="19"/>
    </row>
    <row r="11" spans="1:32" x14ac:dyDescent="0.25">
      <c r="A11" s="15"/>
      <c r="B11" s="15"/>
      <c r="C11" s="15"/>
      <c r="D11" s="15"/>
      <c r="E11" s="18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7"/>
      <c r="Z11" s="17"/>
      <c r="AA11" s="18"/>
      <c r="AB11" s="15"/>
      <c r="AC11" s="15"/>
      <c r="AD11" s="15"/>
      <c r="AE11" s="15"/>
      <c r="AF11" s="19"/>
    </row>
    <row r="12" spans="1:32" x14ac:dyDescent="0.25">
      <c r="A12" s="15"/>
      <c r="B12" s="15"/>
      <c r="C12" s="15"/>
      <c r="D12" s="15"/>
      <c r="E12" s="18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7"/>
      <c r="Z12" s="17"/>
      <c r="AA12" s="18"/>
      <c r="AB12" s="15"/>
      <c r="AC12" s="15"/>
      <c r="AD12" s="15"/>
      <c r="AE12" s="15"/>
      <c r="AF12" s="19"/>
    </row>
    <row r="13" spans="1:32" x14ac:dyDescent="0.25">
      <c r="A13" s="15"/>
      <c r="B13" s="15"/>
      <c r="C13" s="15"/>
      <c r="D13" s="15"/>
      <c r="E13" s="18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7"/>
      <c r="Z13" s="17"/>
      <c r="AA13" s="18"/>
      <c r="AB13" s="15"/>
      <c r="AC13" s="15"/>
      <c r="AD13" s="15"/>
      <c r="AE13" s="15"/>
      <c r="AF13" s="19"/>
    </row>
    <row r="14" spans="1:32" x14ac:dyDescent="0.25">
      <c r="A14" s="15"/>
      <c r="B14" s="15"/>
      <c r="C14" s="15"/>
      <c r="D14" s="15"/>
      <c r="E14" s="18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7"/>
      <c r="Z14" s="17"/>
      <c r="AA14" s="18"/>
      <c r="AB14" s="15"/>
      <c r="AC14" s="15"/>
      <c r="AD14" s="15"/>
      <c r="AE14" s="15"/>
      <c r="AF14" s="19"/>
    </row>
    <row r="15" spans="1:32" x14ac:dyDescent="0.25">
      <c r="A15" s="15"/>
      <c r="B15" s="15"/>
      <c r="C15" s="15"/>
      <c r="D15" s="15"/>
      <c r="E15" s="18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7"/>
      <c r="Z15" s="17"/>
      <c r="AA15" s="18"/>
      <c r="AB15" s="15"/>
      <c r="AC15" s="15"/>
      <c r="AD15" s="15"/>
      <c r="AE15" s="15"/>
      <c r="AF15" s="19"/>
    </row>
    <row r="16" spans="1:32" x14ac:dyDescent="0.25">
      <c r="A16" s="15"/>
      <c r="B16" s="15"/>
      <c r="C16" s="15"/>
      <c r="D16" s="15"/>
      <c r="E16" s="18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7"/>
      <c r="Z16" s="17"/>
      <c r="AA16" s="18"/>
      <c r="AB16" s="15"/>
      <c r="AC16" s="15"/>
      <c r="AD16" s="15"/>
      <c r="AE16" s="15"/>
      <c r="AF16" s="19"/>
    </row>
    <row r="17" spans="1:32" x14ac:dyDescent="0.25">
      <c r="A17" s="15"/>
      <c r="B17" s="15"/>
      <c r="C17" s="15"/>
      <c r="D17" s="15"/>
      <c r="E17" s="18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7"/>
      <c r="Z17" s="17"/>
      <c r="AA17" s="18"/>
      <c r="AB17" s="15"/>
      <c r="AC17" s="15"/>
      <c r="AD17" s="15"/>
      <c r="AE17" s="15"/>
      <c r="AF17" s="19"/>
    </row>
    <row r="18" spans="1:32" x14ac:dyDescent="0.25">
      <c r="A18" s="15"/>
      <c r="B18" s="15"/>
      <c r="C18" s="15"/>
      <c r="D18" s="15"/>
      <c r="E18" s="18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7"/>
      <c r="Z18" s="17"/>
      <c r="AA18" s="18"/>
      <c r="AB18" s="15"/>
      <c r="AC18" s="15"/>
      <c r="AD18" s="15"/>
      <c r="AE18" s="15"/>
      <c r="AF18" s="19"/>
    </row>
    <row r="19" spans="1:32" x14ac:dyDescent="0.25">
      <c r="A19" s="15"/>
      <c r="B19" s="15"/>
      <c r="C19" s="15"/>
      <c r="D19" s="15"/>
      <c r="E19" s="18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7"/>
      <c r="Z19" s="17"/>
      <c r="AA19" s="18"/>
      <c r="AB19" s="15"/>
      <c r="AC19" s="15"/>
      <c r="AD19" s="15"/>
      <c r="AE19" s="15"/>
      <c r="AF19" s="19"/>
    </row>
    <row r="20" spans="1:32" x14ac:dyDescent="0.25">
      <c r="A20" s="15"/>
      <c r="B20" s="15"/>
      <c r="C20" s="15"/>
      <c r="D20" s="15"/>
      <c r="E20" s="18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7"/>
      <c r="Z20" s="17"/>
      <c r="AA20" s="18"/>
      <c r="AB20" s="15"/>
      <c r="AC20" s="15"/>
      <c r="AD20" s="15"/>
      <c r="AE20" s="15"/>
      <c r="AF20" s="19"/>
    </row>
    <row r="21" spans="1:32" x14ac:dyDescent="0.25">
      <c r="A21" s="15"/>
      <c r="B21" s="15"/>
      <c r="C21" s="15"/>
      <c r="D21" s="15"/>
      <c r="E21" s="18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7"/>
      <c r="Z21" s="17"/>
      <c r="AA21" s="18"/>
      <c r="AB21" s="15"/>
      <c r="AC21" s="15"/>
      <c r="AD21" s="15"/>
      <c r="AE21" s="15"/>
      <c r="AF21" s="19"/>
    </row>
    <row r="22" spans="1:32" x14ac:dyDescent="0.25">
      <c r="A22" s="15"/>
      <c r="B22" s="15"/>
      <c r="C22" s="15"/>
      <c r="D22" s="15"/>
      <c r="E22" s="18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7"/>
      <c r="Z22" s="17"/>
      <c r="AA22" s="18"/>
      <c r="AB22" s="15"/>
      <c r="AC22" s="15"/>
      <c r="AD22" s="15"/>
      <c r="AE22" s="15"/>
      <c r="AF22" s="19"/>
    </row>
    <row r="23" spans="1:32" x14ac:dyDescent="0.25">
      <c r="A23" s="15"/>
      <c r="B23" s="15"/>
      <c r="C23" s="15"/>
      <c r="D23" s="15"/>
      <c r="E23" s="18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7"/>
      <c r="Z23" s="17"/>
      <c r="AA23" s="18"/>
      <c r="AB23" s="15"/>
      <c r="AC23" s="15"/>
      <c r="AD23" s="15"/>
      <c r="AE23" s="15"/>
      <c r="AF23" s="19"/>
    </row>
    <row r="24" spans="1:32" x14ac:dyDescent="0.25">
      <c r="A24" s="15"/>
      <c r="B24" s="15"/>
      <c r="C24" s="15"/>
      <c r="D24" s="15"/>
      <c r="E24" s="18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7"/>
      <c r="Z24" s="17"/>
      <c r="AA24" s="18"/>
      <c r="AB24" s="15"/>
      <c r="AC24" s="15"/>
      <c r="AD24" s="15"/>
      <c r="AE24" s="15"/>
      <c r="AF24" s="19"/>
    </row>
    <row r="25" spans="1:32" x14ac:dyDescent="0.25">
      <c r="A25" s="15"/>
      <c r="B25" s="15"/>
      <c r="C25" s="15"/>
      <c r="D25" s="15"/>
      <c r="E25" s="18"/>
      <c r="F25" s="15"/>
      <c r="G25" s="15"/>
      <c r="H25" s="21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7"/>
      <c r="Z25" s="17"/>
      <c r="AA25" s="18"/>
      <c r="AB25" s="15"/>
      <c r="AC25" s="15"/>
      <c r="AD25" s="15"/>
      <c r="AE25" s="15"/>
      <c r="AF25" s="19"/>
    </row>
    <row r="26" spans="1:32" x14ac:dyDescent="0.25">
      <c r="A26" s="15"/>
      <c r="B26" s="15"/>
      <c r="C26" s="15"/>
      <c r="D26" s="15"/>
      <c r="E26" s="18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7"/>
      <c r="Z26" s="17"/>
      <c r="AA26" s="18"/>
      <c r="AB26" s="15"/>
      <c r="AC26" s="15"/>
      <c r="AD26" s="15"/>
      <c r="AE26" s="15"/>
      <c r="AF26" s="19"/>
    </row>
    <row r="27" spans="1:32" x14ac:dyDescent="0.25">
      <c r="A27" s="15"/>
      <c r="B27" s="15"/>
      <c r="C27" s="15"/>
      <c r="D27" s="15"/>
      <c r="E27" s="18"/>
      <c r="F27" s="17"/>
      <c r="G27" s="17"/>
      <c r="H27" s="17"/>
      <c r="I27" s="17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7"/>
      <c r="Z27" s="17"/>
      <c r="AA27" s="18"/>
      <c r="AB27" s="15"/>
      <c r="AC27" s="15"/>
      <c r="AD27" s="15"/>
      <c r="AE27" s="15"/>
      <c r="AF27" s="19"/>
    </row>
    <row r="28" spans="1:32" x14ac:dyDescent="0.25">
      <c r="A28" s="15"/>
      <c r="B28" s="15"/>
      <c r="C28" s="15"/>
      <c r="D28" s="15"/>
      <c r="E28" s="18"/>
      <c r="F28" s="17"/>
      <c r="G28" s="17"/>
      <c r="H28" s="17"/>
      <c r="I28" s="17"/>
      <c r="J28" s="17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7"/>
      <c r="Z28" s="17"/>
      <c r="AA28" s="18"/>
      <c r="AB28" s="15"/>
      <c r="AC28" s="15"/>
      <c r="AD28" s="15"/>
      <c r="AE28" s="15"/>
      <c r="AF28" s="19"/>
    </row>
    <row r="29" spans="1:32" x14ac:dyDescent="0.25">
      <c r="A29" s="15"/>
      <c r="B29" s="15"/>
      <c r="C29" s="15"/>
      <c r="D29" s="15"/>
      <c r="E29" s="18"/>
      <c r="F29" s="17"/>
      <c r="G29" s="17"/>
      <c r="H29" s="17"/>
      <c r="I29" s="17"/>
      <c r="J29" s="17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7"/>
      <c r="Z29" s="17"/>
      <c r="AA29" s="18"/>
      <c r="AB29" s="15"/>
      <c r="AC29" s="15"/>
      <c r="AD29" s="15"/>
      <c r="AE29" s="15"/>
      <c r="AF29" s="19"/>
    </row>
    <row r="30" spans="1:32" x14ac:dyDescent="0.25">
      <c r="A30" s="15"/>
      <c r="B30" s="15"/>
      <c r="C30" s="15"/>
      <c r="D30" s="15"/>
      <c r="E30" s="18"/>
      <c r="F30" s="17"/>
      <c r="G30" s="17"/>
      <c r="H30" s="17"/>
      <c r="I30" s="17"/>
      <c r="J30" s="17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7"/>
      <c r="Z30" s="17"/>
      <c r="AA30" s="18"/>
      <c r="AB30" s="15"/>
      <c r="AC30" s="15"/>
      <c r="AD30" s="15"/>
      <c r="AE30" s="15"/>
      <c r="AF30" s="19"/>
    </row>
    <row r="31" spans="1:32" x14ac:dyDescent="0.25">
      <c r="A31" s="15"/>
      <c r="B31" s="15"/>
      <c r="C31" s="15"/>
      <c r="D31" s="15"/>
      <c r="E31" s="18"/>
      <c r="F31" s="17"/>
      <c r="G31" s="17"/>
      <c r="H31" s="17"/>
      <c r="I31" s="17"/>
      <c r="J31" s="17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7"/>
      <c r="Z31" s="17"/>
      <c r="AA31" s="18"/>
      <c r="AB31" s="15"/>
      <c r="AC31" s="15"/>
      <c r="AD31" s="15"/>
      <c r="AE31" s="15"/>
      <c r="AF31" s="19"/>
    </row>
    <row r="32" spans="1:32" x14ac:dyDescent="0.25">
      <c r="A32" s="15"/>
      <c r="B32" s="15"/>
      <c r="C32" s="15"/>
      <c r="D32" s="15"/>
      <c r="E32" s="18"/>
      <c r="F32" s="17"/>
      <c r="G32" s="17"/>
      <c r="H32" s="17"/>
      <c r="I32" s="17"/>
      <c r="J32" s="17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7"/>
      <c r="Z32" s="17"/>
      <c r="AA32" s="18"/>
      <c r="AB32" s="15"/>
      <c r="AC32" s="15"/>
      <c r="AD32" s="15"/>
      <c r="AE32" s="15"/>
      <c r="AF32" s="19"/>
    </row>
    <row r="33" spans="1:32" x14ac:dyDescent="0.25">
      <c r="A33" s="15"/>
      <c r="B33" s="15"/>
      <c r="C33" s="15"/>
      <c r="D33" s="15"/>
      <c r="E33" s="18"/>
      <c r="F33" s="17"/>
      <c r="G33" s="17"/>
      <c r="H33" s="17"/>
      <c r="I33" s="17"/>
      <c r="J33" s="17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7"/>
      <c r="Z33" s="17"/>
      <c r="AA33" s="18"/>
      <c r="AB33" s="15"/>
      <c r="AC33" s="15"/>
      <c r="AD33" s="15"/>
      <c r="AE33" s="15"/>
      <c r="AF33" s="19"/>
    </row>
    <row r="34" spans="1:32" x14ac:dyDescent="0.25">
      <c r="A34" s="15"/>
      <c r="B34" s="15"/>
      <c r="C34" s="15"/>
      <c r="D34" s="15"/>
      <c r="E34" s="18"/>
      <c r="F34" s="17"/>
      <c r="G34" s="17"/>
      <c r="H34" s="17"/>
      <c r="I34" s="17"/>
      <c r="J34" s="17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7"/>
      <c r="Z34" s="17"/>
      <c r="AA34" s="18"/>
      <c r="AB34" s="15"/>
      <c r="AC34" s="15"/>
      <c r="AD34" s="15"/>
      <c r="AE34" s="15"/>
      <c r="AF34" s="19"/>
    </row>
    <row r="35" spans="1:32" x14ac:dyDescent="0.25">
      <c r="A35" s="15"/>
      <c r="B35" s="15"/>
      <c r="C35" s="15"/>
      <c r="D35" s="15"/>
      <c r="E35" s="18"/>
      <c r="F35" s="17"/>
      <c r="G35" s="17"/>
      <c r="H35" s="17"/>
      <c r="I35" s="17"/>
      <c r="J35" s="17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7"/>
      <c r="Z35" s="17"/>
      <c r="AA35" s="18"/>
      <c r="AB35" s="15"/>
      <c r="AC35" s="15"/>
      <c r="AD35" s="15"/>
      <c r="AE35" s="15"/>
      <c r="AF35" s="19"/>
    </row>
    <row r="36" spans="1:32" x14ac:dyDescent="0.25">
      <c r="A36" s="17"/>
      <c r="B36" s="17"/>
      <c r="C36" s="17"/>
      <c r="D36" s="17"/>
      <c r="E36" s="18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8"/>
      <c r="AB36" s="15"/>
      <c r="AC36" s="15"/>
      <c r="AD36" s="15"/>
      <c r="AE36" s="15"/>
      <c r="AF36" s="19"/>
    </row>
    <row r="37" spans="1:32" x14ac:dyDescent="0.25">
      <c r="A37" s="17"/>
      <c r="B37" s="17"/>
      <c r="C37" s="17"/>
      <c r="D37" s="17"/>
      <c r="E37" s="18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8"/>
      <c r="AB37" s="15"/>
      <c r="AC37" s="15"/>
      <c r="AD37" s="15"/>
      <c r="AE37" s="15"/>
      <c r="AF37" s="19"/>
    </row>
    <row r="38" spans="1:32" x14ac:dyDescent="0.25">
      <c r="A38" s="17"/>
      <c r="B38" s="17"/>
      <c r="C38" s="17"/>
      <c r="D38" s="17"/>
      <c r="E38" s="18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8"/>
      <c r="AB38" s="15"/>
      <c r="AC38" s="15"/>
      <c r="AD38" s="15"/>
      <c r="AE38" s="15"/>
      <c r="AF38" s="19"/>
    </row>
    <row r="39" spans="1:32" x14ac:dyDescent="0.25">
      <c r="A39" s="15"/>
      <c r="B39" s="15"/>
      <c r="C39" s="15"/>
      <c r="D39" s="15"/>
      <c r="E39" s="18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8"/>
      <c r="AB39" s="15"/>
      <c r="AC39" s="15"/>
      <c r="AD39" s="15"/>
      <c r="AE39" s="15"/>
      <c r="AF39" s="19"/>
    </row>
    <row r="40" spans="1:32" x14ac:dyDescent="0.25">
      <c r="A40" s="15"/>
      <c r="B40" s="15"/>
      <c r="C40" s="15"/>
      <c r="D40" s="15"/>
      <c r="E40" s="18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8"/>
      <c r="AB40" s="15"/>
      <c r="AC40" s="15"/>
      <c r="AD40" s="15"/>
      <c r="AE40" s="15"/>
      <c r="AF40" s="19"/>
    </row>
    <row r="41" spans="1:32" x14ac:dyDescent="0.25">
      <c r="A41" s="15"/>
      <c r="B41" s="15"/>
      <c r="C41" s="15"/>
      <c r="D41" s="15"/>
      <c r="E41" s="18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8"/>
      <c r="AB41" s="15"/>
      <c r="AC41" s="15"/>
      <c r="AD41" s="15"/>
      <c r="AE41" s="15"/>
      <c r="AF41" s="19"/>
    </row>
    <row r="42" spans="1:32" x14ac:dyDescent="0.25">
      <c r="A42" s="15"/>
      <c r="B42" s="15"/>
      <c r="C42" s="15"/>
      <c r="D42" s="15"/>
      <c r="E42" s="18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8"/>
      <c r="AB42" s="15"/>
      <c r="AC42" s="15"/>
      <c r="AD42" s="15"/>
      <c r="AE42" s="15"/>
      <c r="AF42" s="19"/>
    </row>
    <row r="43" spans="1:32" x14ac:dyDescent="0.25">
      <c r="A43" s="15"/>
      <c r="B43" s="15"/>
      <c r="C43" s="15"/>
      <c r="D43" s="15"/>
      <c r="E43" s="18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8"/>
      <c r="AB43" s="15"/>
      <c r="AC43" s="15"/>
      <c r="AD43" s="15"/>
      <c r="AE43" s="15"/>
      <c r="AF43" s="19"/>
    </row>
    <row r="44" spans="1:32" x14ac:dyDescent="0.25">
      <c r="A44" s="15"/>
      <c r="B44" s="15"/>
      <c r="C44" s="15"/>
      <c r="D44" s="15"/>
      <c r="E44" s="18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8"/>
      <c r="AB44" s="15"/>
      <c r="AC44" s="15"/>
      <c r="AD44" s="15"/>
      <c r="AE44" s="15"/>
      <c r="AF44" s="19"/>
    </row>
    <row r="45" spans="1:32" hidden="1" x14ac:dyDescent="0.25">
      <c r="A45" s="22"/>
      <c r="B45" s="22"/>
      <c r="C45" s="22"/>
      <c r="D45" s="22"/>
      <c r="E45" s="17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17"/>
      <c r="AB45" s="15"/>
      <c r="AC45" s="15"/>
      <c r="AD45" s="15"/>
      <c r="AE45" s="15"/>
    </row>
    <row r="46" spans="1:32" hidden="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spans="1:32" hidden="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spans="1:32" hidden="1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spans="1:31" hidden="1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spans="1:31" hidden="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spans="1:31" hidden="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</row>
    <row r="52" spans="1:31" hidden="1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</row>
    <row r="53" spans="1:31" hidden="1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</row>
    <row r="54" spans="1:31" hidden="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</row>
    <row r="55" spans="1:31" hidden="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</row>
    <row r="56" spans="1:31" hidden="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</row>
    <row r="57" spans="1:31" hidden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</row>
    <row r="58" spans="1:31" hidden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</row>
    <row r="59" spans="1:31" hidden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</row>
    <row r="60" spans="1:31" hidden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</row>
    <row r="61" spans="1:31" hidden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</row>
    <row r="62" spans="1:31" hidden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</row>
    <row r="63" spans="1:31" hidden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</row>
    <row r="64" spans="1:31" hidden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</row>
    <row r="65" spans="1:31" hidden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</row>
    <row r="66" spans="1:31" hidden="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</row>
    <row r="67" spans="1:31" hidden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</row>
    <row r="68" spans="1:31" hidden="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</row>
    <row r="69" spans="1:31" hidden="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</row>
    <row r="70" spans="1:31" hidden="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</row>
  </sheetData>
  <sheetProtection algorithmName="SHA-512" hashValue="B6DWGpDFmQ3ZyXgPkvd4BBw2te5Wwz9CRK8ip+z/mwoEGE+7tbWQ3W9Fw3rxwxO/2uDIpD1Abp5bZj/M8pUPnA==" saltValue="zQpDRCyDNqNtB673P0H66Q==" spinCount="100000" sheet="1" objects="1" scenarios="1" selectLockedCells="1" pivotTables="0" selectUnlockedCells="1"/>
  <mergeCells count="1">
    <mergeCell ref="A2:I2"/>
  </mergeCells>
  <hyperlinks>
    <hyperlink ref="A2" r:id="rId1" display="http://www.kaggle.com/datasets/vinicius150987/titanic3"/>
  </hyperlinks>
  <pageMargins left="0.7" right="0.7" top="0.75" bottom="0.75" header="0.3" footer="0.3"/>
  <pageSetup paperSize="9" orientation="portrait" horizontalDpi="4294967295" verticalDpi="4294967295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data</vt:lpstr>
      <vt:lpstr>pivot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maciek</dc:creator>
  <cp:lastModifiedBy>maciek</cp:lastModifiedBy>
  <dcterms:created xsi:type="dcterms:W3CDTF">2023-01-25T12:40:48Z</dcterms:created>
  <dcterms:modified xsi:type="dcterms:W3CDTF">2023-02-09T11:39:59Z</dcterms:modified>
</cp:coreProperties>
</file>